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ny\Documents\proyecto_audio\resultados\"/>
    </mc:Choice>
  </mc:AlternateContent>
  <xr:revisionPtr revIDLastSave="0" documentId="8_{6700983D-18CD-44EF-8DE9-E2912FF652DD}" xr6:coauthVersionLast="47" xr6:coauthVersionMax="47" xr10:uidLastSave="{00000000-0000-0000-0000-000000000000}"/>
  <bookViews>
    <workbookView xWindow="-108" yWindow="-108" windowWidth="23256" windowHeight="13896" activeTab="1" xr2:uid="{FDD69F0D-F313-433B-8B05-5D324A00F456}"/>
  </bookViews>
  <sheets>
    <sheet name="reporte_audio5" sheetId="1" r:id="rId1"/>
    <sheet name="Análisis_Dinámico" sheetId="2" r:id="rId2"/>
  </sheets>
  <calcPr calcId="0"/>
  <pivotCaches>
    <pivotCache cacheId="6" r:id="rId3"/>
  </pivotCaches>
</workbook>
</file>

<file path=xl/calcChain.xml><?xml version="1.0" encoding="utf-8"?>
<calcChain xmlns="http://schemas.openxmlformats.org/spreadsheetml/2006/main">
  <c r="D52" i="2" l="1"/>
  <c r="C52" i="2"/>
  <c r="B52" i="2"/>
  <c r="D51" i="2"/>
  <c r="C51" i="2"/>
  <c r="B51" i="2"/>
  <c r="D50" i="2"/>
  <c r="C50" i="2"/>
  <c r="B50" i="2"/>
  <c r="D49" i="2"/>
  <c r="C49" i="2"/>
  <c r="B49" i="2"/>
  <c r="D48" i="2"/>
  <c r="C48" i="2"/>
  <c r="B48" i="2"/>
  <c r="B42" i="2"/>
  <c r="B41" i="2"/>
  <c r="B40" i="2"/>
  <c r="B39" i="2"/>
  <c r="B38" i="2"/>
  <c r="B37" i="2"/>
  <c r="B36" i="2"/>
  <c r="B35" i="2"/>
</calcChain>
</file>

<file path=xl/sharedStrings.xml><?xml version="1.0" encoding="utf-8"?>
<sst xmlns="http://schemas.openxmlformats.org/spreadsheetml/2006/main" count="478" uniqueCount="324">
  <si>
    <t>archivo</t>
  </si>
  <si>
    <t>duracion_total</t>
  </si>
  <si>
    <t>audio_util</t>
  </si>
  <si>
    <t>porcentaje_audio</t>
  </si>
  <si>
    <t>num_frases</t>
  </si>
  <si>
    <t>rms_mean</t>
  </si>
  <si>
    <t>rms_std</t>
  </si>
  <si>
    <t>rango_dinamico</t>
  </si>
  <si>
    <t>clase</t>
  </si>
  <si>
    <t>104_12_18_2024_CNOCgrabacion3_d.wav</t>
  </si>
  <si>
    <t>35.27111111111111</t>
  </si>
  <si>
    <t>0.019200729206204414</t>
  </si>
  <si>
    <t>ivr_limpio</t>
  </si>
  <si>
    <t>11_4_18_2026_Banamex_grabacion_0.wav</t>
  </si>
  <si>
    <t>silencio_real</t>
  </si>
  <si>
    <t>11_4_18_2026_Banamex_grabacion_1.wav</t>
  </si>
  <si>
    <t>11_4_20_2026_Banamex_grabacion_0.wav</t>
  </si>
  <si>
    <t>11_4_21_2026_Banamex_grabacion_0.wav</t>
  </si>
  <si>
    <t>11_4_21_2026_Banamex_grabacion_1.wav</t>
  </si>
  <si>
    <t>11_4_21_2026_Banamex_grabacion_2.wav</t>
  </si>
  <si>
    <t>123_12_18_2024_CNOCgrabacion3_d.wav</t>
  </si>
  <si>
    <t>60.30222222222223</t>
  </si>
  <si>
    <t>0.2290697991847992</t>
  </si>
  <si>
    <t>gris</t>
  </si>
  <si>
    <t>13_4_23_2026_BBVAgrabacion_0.wav</t>
  </si>
  <si>
    <t>14_4_23_2026_BBVAgrabacion_0.wav</t>
  </si>
  <si>
    <t>161_12_18_2024_CNOCgrabacion3_d.wav</t>
  </si>
  <si>
    <t>58.239999999999995</t>
  </si>
  <si>
    <t>0.13998878002166748</t>
  </si>
  <si>
    <t>0.2426876723766327</t>
  </si>
  <si>
    <t>18_4_22_2026_BBVAgrabacion_0.wav</t>
  </si>
  <si>
    <t>1_2_13_2025_BBVAgrabacion3.wav</t>
  </si>
  <si>
    <t>26.311111111111114</t>
  </si>
  <si>
    <t>0.3184951841831207</t>
  </si>
  <si>
    <t>0.13125017285346985</t>
  </si>
  <si>
    <t>0.6268747448921204</t>
  </si>
  <si>
    <t>sospechoso</t>
  </si>
  <si>
    <t>1_2_13_2025_CNOCgrabacion3.wav</t>
  </si>
  <si>
    <t>60.23111111111111</t>
  </si>
  <si>
    <t>0.20224399864673615</t>
  </si>
  <si>
    <t>0.2972279191017151</t>
  </si>
  <si>
    <t>1_2_26_2025_BBVAgrabacion3.wav</t>
  </si>
  <si>
    <t>39.964444444444446</t>
  </si>
  <si>
    <t>0.24554678797721863</t>
  </si>
  <si>
    <t>0.11231619119644165</t>
  </si>
  <si>
    <t>0.5735589861869812</t>
  </si>
  <si>
    <t>1_3_13_2026_Vidanta_grabacion3.wav</t>
  </si>
  <si>
    <t>18.986666666666665</t>
  </si>
  <si>
    <t>1_3_14_2026_Vidanta_grabacion3.wav</t>
  </si>
  <si>
    <t>20.586666666666666</t>
  </si>
  <si>
    <t>0.29692307114601135</t>
  </si>
  <si>
    <t>1_3_22_2026_GNPgrabacion_0.wav</t>
  </si>
  <si>
    <t>84.74666666666667</t>
  </si>
  <si>
    <t>0.1596030741930008</t>
  </si>
  <si>
    <t>0.12358314543962479</t>
  </si>
  <si>
    <t>0.6387531757354736</t>
  </si>
  <si>
    <t>1_3_23_2026_GNPgrabacion_0.wav</t>
  </si>
  <si>
    <t>84.85333333333334</t>
  </si>
  <si>
    <t>0.17241261899471283</t>
  </si>
  <si>
    <t>0.12992624938488007</t>
  </si>
  <si>
    <t>0.6294113993644714</t>
  </si>
  <si>
    <t>1_3_24_2026_GNPgrabacion_0.wav</t>
  </si>
  <si>
    <t>84.96000000000001</t>
  </si>
  <si>
    <t>0.15861353278160095</t>
  </si>
  <si>
    <t>0.12420286983251572</t>
  </si>
  <si>
    <t>0.6270979046821594</t>
  </si>
  <si>
    <t>1_3_25_2026_GNPgrabacion_0.wav</t>
  </si>
  <si>
    <t>0.1555953323841095</t>
  </si>
  <si>
    <t>0.1208520233631134</t>
  </si>
  <si>
    <t>0.6221332550048828</t>
  </si>
  <si>
    <t>1_3_26_2026_GNPgrabacion_0.wav</t>
  </si>
  <si>
    <t>83.78666666666666</t>
  </si>
  <si>
    <t>0.15809926390647888</t>
  </si>
  <si>
    <t>0.12343672662973404</t>
  </si>
  <si>
    <t>0.6299790740013123</t>
  </si>
  <si>
    <t>1_3_27_2026_GNPgrabacion_0.wav</t>
  </si>
  <si>
    <t>85.06666666666666</t>
  </si>
  <si>
    <t>0.15288040041923523</t>
  </si>
  <si>
    <t>0.11975608021020889</t>
  </si>
  <si>
    <t>0.6261981129646301</t>
  </si>
  <si>
    <t>1_3_28_2026_GNPgrabacion_0.wav</t>
  </si>
  <si>
    <t>1_3_28_2026_GNPgrabacion_1.wav</t>
  </si>
  <si>
    <t>0.15257327258586884</t>
  </si>
  <si>
    <t>0.11921215057373047</t>
  </si>
  <si>
    <t>0.6257768869400024</t>
  </si>
  <si>
    <t>1_3_29_2026_GNPgrabacion_0.wav</t>
  </si>
  <si>
    <t>0.1634163111448288</t>
  </si>
  <si>
    <t>0.12848827242851257</t>
  </si>
  <si>
    <t>0.6243899464607239</t>
  </si>
  <si>
    <t>1_3_30_2026_GNPgrabacion_0.wav</t>
  </si>
  <si>
    <t>0.16637347638607025</t>
  </si>
  <si>
    <t>0.1302197426557541</t>
  </si>
  <si>
    <t>0.6268052458763123</t>
  </si>
  <si>
    <t>1_3_31_2026_GNPgrabacion_0.wav</t>
  </si>
  <si>
    <t>84.80000000000001</t>
  </si>
  <si>
    <t>0.16686776280403137</t>
  </si>
  <si>
    <t>0.12955456972122192</t>
  </si>
  <si>
    <t>0.6295644044876099</t>
  </si>
  <si>
    <t>1_4_10_2026_GNPgrabacion_0.wav</t>
  </si>
  <si>
    <t>0.1462872177362442</t>
  </si>
  <si>
    <t>0.11512255668640137</t>
  </si>
  <si>
    <t>0.6159057021141052</t>
  </si>
  <si>
    <t>1_4_11_2026_GNPgrabacion_0.wav</t>
  </si>
  <si>
    <t>84.63999999999999</t>
  </si>
  <si>
    <t>0.12946179509162903</t>
  </si>
  <si>
    <t>1_4_11_2026_Vidanta_grabacion_0.wav</t>
  </si>
  <si>
    <t>0.5333333333333333</t>
  </si>
  <si>
    <t>vacio</t>
  </si>
  <si>
    <t>1_4_11_2026_Vidanta_grabacion_1.wav</t>
  </si>
  <si>
    <t>0.058661628514528275</t>
  </si>
  <si>
    <t>0.023173987865447998</t>
  </si>
  <si>
    <t>1_4_12_2026_BBVAgrabacion_0.wav</t>
  </si>
  <si>
    <t>47.89333333333333</t>
  </si>
  <si>
    <t>0.10433393716812134</t>
  </si>
  <si>
    <t>0.20444652438163757</t>
  </si>
  <si>
    <t>1_4_12_2026_GNPgrabacion_0.wav</t>
  </si>
  <si>
    <t>0.16978415846824646</t>
  </si>
  <si>
    <t>0.1301160603761673</t>
  </si>
  <si>
    <t>0.6115109920501709</t>
  </si>
  <si>
    <t>1_4_12_2026_Vidanta_grabacion_0.wav</t>
  </si>
  <si>
    <t>23.57333333333333</t>
  </si>
  <si>
    <t>0.3451007008552551</t>
  </si>
  <si>
    <t>1_4_13_2026_BBVAgrabacion_0.wav</t>
  </si>
  <si>
    <t>48.266666666666666</t>
  </si>
  <si>
    <t>0.10654422640800476</t>
  </si>
  <si>
    <t>0.20168177783489227</t>
  </si>
  <si>
    <t>1_4_13_2026_GNPgrabacion_0.wav</t>
  </si>
  <si>
    <t>1_4_13_2026_Vidanta_grabacion_0.wav</t>
  </si>
  <si>
    <t>21.333333333333336</t>
  </si>
  <si>
    <t>0.033882301300764084</t>
  </si>
  <si>
    <t>0.1680179238319397</t>
  </si>
  <si>
    <t>1_4_14_2026_BBVAgrabacion_0.wav</t>
  </si>
  <si>
    <t>46.61333333333334</t>
  </si>
  <si>
    <t>0.10564420372247696</t>
  </si>
  <si>
    <t>0.21386930346488953</t>
  </si>
  <si>
    <t>1_4_14_2026_GNPgrabacion_0.wav</t>
  </si>
  <si>
    <t>84.90666666666668</t>
  </si>
  <si>
    <t>0.1677854061126709</t>
  </si>
  <si>
    <t>0.1296704262495041</t>
  </si>
  <si>
    <t>0.6182787418365479</t>
  </si>
  <si>
    <t>1_4_14_2026_Vidanta_grabacion_0.wav</t>
  </si>
  <si>
    <t>23.466666666666665</t>
  </si>
  <si>
    <t>0.013755638152360916</t>
  </si>
  <si>
    <t>1_4_15_2026_BBVAgrabacion_0.wav</t>
  </si>
  <si>
    <t>48.480000000000004</t>
  </si>
  <si>
    <t>0.2006867676973343</t>
  </si>
  <si>
    <t>1_4_1_2026_GNPgrabacion_0.wav</t>
  </si>
  <si>
    <t>84.53333333333333</t>
  </si>
  <si>
    <t>0.15255022048950195</t>
  </si>
  <si>
    <t>0.12004119157791138</t>
  </si>
  <si>
    <t>0.6230358481407166</t>
  </si>
  <si>
    <t>1_4_22_2026_Banamex_grabacion_0.wav</t>
  </si>
  <si>
    <t>1_4_2_2026_GNPgrabacion_0.wav</t>
  </si>
  <si>
    <t>0.14802038669586182</t>
  </si>
  <si>
    <t>0.11673524230718613</t>
  </si>
  <si>
    <t>0.6158221364021301</t>
  </si>
  <si>
    <t>1_4_3_2026_GNPgrabacion_0.wav</t>
  </si>
  <si>
    <t>1_4_3_2026_GNPgrabacion_1.wav</t>
  </si>
  <si>
    <t>82.66666666666667</t>
  </si>
  <si>
    <t>0.15635454654693604</t>
  </si>
  <si>
    <t>0.12100066989660263</t>
  </si>
  <si>
    <t>0.6217654347419739</t>
  </si>
  <si>
    <t>1_4_4_2026_GNPgrabacion_0.wav</t>
  </si>
  <si>
    <t>0.15930293500423431</t>
  </si>
  <si>
    <t>0.12405356019735336</t>
  </si>
  <si>
    <t>0.6379881501197815</t>
  </si>
  <si>
    <t>1_4_5_2026_GNPgrabacion_0.wav</t>
  </si>
  <si>
    <t>82.77333333333333</t>
  </si>
  <si>
    <t>0.12173084169626236</t>
  </si>
  <si>
    <t>1_4_6_2026_GNPgrabacion_0.wav</t>
  </si>
  <si>
    <t>82.50666666666666</t>
  </si>
  <si>
    <t>0.15703077614307404</t>
  </si>
  <si>
    <t>0.12130050361156464</t>
  </si>
  <si>
    <t>0.6213380694389343</t>
  </si>
  <si>
    <t>1_4_7_2026_GNPgrabacion_0.wav</t>
  </si>
  <si>
    <t>83.67999999999999</t>
  </si>
  <si>
    <t>0.16083960235118866</t>
  </si>
  <si>
    <t>0.12519221007823944</t>
  </si>
  <si>
    <t>0.6314231753349304</t>
  </si>
  <si>
    <t>1_4_8_2026_GNPgrabacion_0.wav</t>
  </si>
  <si>
    <t>0.16710425913333893</t>
  </si>
  <si>
    <t>0.12965822219848633</t>
  </si>
  <si>
    <t>0.6335423588752747</t>
  </si>
  <si>
    <t>1_4_9_2026_GNPgrabacion_0.wav</t>
  </si>
  <si>
    <t>84.69333333333334</t>
  </si>
  <si>
    <t>0.16721725463867188</t>
  </si>
  <si>
    <t>0.13002829253673553</t>
  </si>
  <si>
    <t>20_4_23_2026_BBVAgrabacion_0.wav</t>
  </si>
  <si>
    <t>22_4_23_2026_BBVAgrabacion_0.wav</t>
  </si>
  <si>
    <t>22_4_23_2026_BBVAgrabacion_1.wav</t>
  </si>
  <si>
    <t>2_11_28_2024_BBVAgrabacion3.wav</t>
  </si>
  <si>
    <t>88.69333333333333</t>
  </si>
  <si>
    <t>0.22726823389530182</t>
  </si>
  <si>
    <t>2_11_29_2024_BBVAgrabacion3.wav</t>
  </si>
  <si>
    <t>93.88444444444444</t>
  </si>
  <si>
    <t>0.21901822090148926</t>
  </si>
  <si>
    <t>0.4343702793121338</t>
  </si>
  <si>
    <t>2_11_30_2024_BBVAgrabacion3.wav</t>
  </si>
  <si>
    <t>80.30222222222223</t>
  </si>
  <si>
    <t>0.23700638115406036</t>
  </si>
  <si>
    <t>0.5624297857284546</t>
  </si>
  <si>
    <t>2_12_2_2024_BBVAgrabacion3.wav</t>
  </si>
  <si>
    <t>80.94222222222223</t>
  </si>
  <si>
    <t>0.23600666224956512</t>
  </si>
  <si>
    <t>0.5739837288856506</t>
  </si>
  <si>
    <t>2_12_3_2024_CNOCgrabacion3.wav</t>
  </si>
  <si>
    <t>59.591111111111104</t>
  </si>
  <si>
    <t>0.19972217082977295</t>
  </si>
  <si>
    <t>0.054343629628419876</t>
  </si>
  <si>
    <t>0.2611369490623474</t>
  </si>
  <si>
    <t>2_3_28_2026_GNPgrabacion_0.wav</t>
  </si>
  <si>
    <t>0.15149562060832977</t>
  </si>
  <si>
    <t>0.11899314075708389</t>
  </si>
  <si>
    <t>0.6284712553024292</t>
  </si>
  <si>
    <t>2_3_29_2026_GNPgrabacion_0.wav</t>
  </si>
  <si>
    <t>0.15625359117984772</t>
  </si>
  <si>
    <t>0.12054158002138138</t>
  </si>
  <si>
    <t>0.6298550367355347</t>
  </si>
  <si>
    <t>2_3_30_2026_GNPgrabacion_0.wav</t>
  </si>
  <si>
    <t>0.1506270319223404</t>
  </si>
  <si>
    <t>0.11761506646871567</t>
  </si>
  <si>
    <t>0.6204313635826111</t>
  </si>
  <si>
    <t>2_3_31_2026_GNPgrabacion_0.wav</t>
  </si>
  <si>
    <t>0.15523234009742737</t>
  </si>
  <si>
    <t>0.11987023800611496</t>
  </si>
  <si>
    <t>0.6121717095375061</t>
  </si>
  <si>
    <t>2_4_13_2026_BBVAgrabacion_0.wav</t>
  </si>
  <si>
    <t>48.160000000000004</t>
  </si>
  <si>
    <t>0.10695216059684753</t>
  </si>
  <si>
    <t>0.21069639921188354</t>
  </si>
  <si>
    <t>2_4_13_2026_Vidanta_grabacion_0.wav</t>
  </si>
  <si>
    <t>19.62666666666667</t>
  </si>
  <si>
    <t>2_4_14_2026_BBVAgrabacion_0.wav</t>
  </si>
  <si>
    <t>49.86666666666667</t>
  </si>
  <si>
    <t>0.10615171492099762</t>
  </si>
  <si>
    <t>0.20317316055297852</t>
  </si>
  <si>
    <t>2_4_15_2026_BBVAgrabacion_0.wav</t>
  </si>
  <si>
    <t>2_4_15_2026_BBVAgrabacion_1.wav</t>
  </si>
  <si>
    <t>2_4_1_2026_GNPgrabacion_0.wav</t>
  </si>
  <si>
    <t>0.15167658030986786</t>
  </si>
  <si>
    <t>0.11890630424022675</t>
  </si>
  <si>
    <t>0.6150656938552856</t>
  </si>
  <si>
    <t>2_4_21_2026_Banamex_grabacion_0.wav</t>
  </si>
  <si>
    <t>2_4_22_2026_BBVAgrabacion_0.wav</t>
  </si>
  <si>
    <t>2_4_2_2026_GNPgrabacion_0.wav</t>
  </si>
  <si>
    <t>0.15328331291675568</t>
  </si>
  <si>
    <t>0.11927751451730728</t>
  </si>
  <si>
    <t>0.6291910409927368</t>
  </si>
  <si>
    <t>2_4_3_2026_GNPgrabacion_0.wav</t>
  </si>
  <si>
    <t>84.10666666666667</t>
  </si>
  <si>
    <t>0.1609983891248703</t>
  </si>
  <si>
    <t>0.12463604658842087</t>
  </si>
  <si>
    <t>0.6227063536643982</t>
  </si>
  <si>
    <t>2_4_4_2026_GNPgrabacion_0.wav</t>
  </si>
  <si>
    <t>0.1594351977109909</t>
  </si>
  <si>
    <t>0.12305222451686859</t>
  </si>
  <si>
    <t>0.6218953132629395</t>
  </si>
  <si>
    <t>2_4_5_2026_GNPgrabacion_0.wav</t>
  </si>
  <si>
    <t>0.15727153420448303</t>
  </si>
  <si>
    <t>0.12162341177463531</t>
  </si>
  <si>
    <t>0.6180087924003601</t>
  </si>
  <si>
    <t>31_4_23_2026_BBVAgrabacion_0.wav</t>
  </si>
  <si>
    <t>33_4_21_2026_BBVAgrabacion_0.wav</t>
  </si>
  <si>
    <t>35_4_21_2026_BBVAgrabacion_0.wav</t>
  </si>
  <si>
    <t>35_4_22_2026_BBVAgrabacion_0.wav</t>
  </si>
  <si>
    <t>36_4_23_2026_BBVAgrabacion_0.wav</t>
  </si>
  <si>
    <t>37_4_23_2026_BBVAgrabacion_0.wav</t>
  </si>
  <si>
    <t>38_4_22_2026_BBVAgrabacion_0.wav</t>
  </si>
  <si>
    <t>39_4_23_2026_BBVAgrabacion_0.wav</t>
  </si>
  <si>
    <t>3_4_18_2026_Banamex_grabacion_0.wav</t>
  </si>
  <si>
    <t>3_4_21_2026_Banamex_grabacion_0.wav</t>
  </si>
  <si>
    <t>3_4_22_2026_BBVAgrabacion_0.wav</t>
  </si>
  <si>
    <t>3_4_23_2026_BBVAgrabacion_0.wav</t>
  </si>
  <si>
    <t>3_4_24_2026_Banamex_grabacion_0.wav</t>
  </si>
  <si>
    <t>40_4_23_2026_BBVAgrabacion_0.wav</t>
  </si>
  <si>
    <t>45_2_13_2025_GNPgrabacion3.wav</t>
  </si>
  <si>
    <t>85.97333333333333</t>
  </si>
  <si>
    <t>0.11441191285848618</t>
  </si>
  <si>
    <t>48_4_21_2026_BBVAgrabacion_0.wav</t>
  </si>
  <si>
    <t>48_4_22_2026_BBVAgrabacion_0.wav</t>
  </si>
  <si>
    <t>4_4_22_2026_BBVAgrabacion_0.wav</t>
  </si>
  <si>
    <t>55_4_21_2026_BBVAgrabacion_0.wav</t>
  </si>
  <si>
    <t>57_4_21_2026_BBVAgrabacion_0.wav</t>
  </si>
  <si>
    <t>57_4_21_2026_BBVAgrabacion_1.wav</t>
  </si>
  <si>
    <t>6_4_18_2026_Banamex_grabacion_0.wav</t>
  </si>
  <si>
    <t>0.4266666666666667</t>
  </si>
  <si>
    <t>6_4_18_2026_Banamex_grabacion_1.wav</t>
  </si>
  <si>
    <t>7_4_18_2026_Banamex_grabacion_0.wav</t>
  </si>
  <si>
    <t>7_4_20_2026_Banamex_grabacion_0.wav</t>
  </si>
  <si>
    <t>7_4_23_2026_BBVAgrabacion_0.wav</t>
  </si>
  <si>
    <t>8_4_21_2026_Banamex_grabacion_0.wav</t>
  </si>
  <si>
    <t>8_4_22_2026_BBVAgrabacion_0.wav</t>
  </si>
  <si>
    <t>8_4_23_2026_BBVAgrabacion_0.wav</t>
  </si>
  <si>
    <t>99_12_18_2024_CNOCgrabacion3_d.wav</t>
  </si>
  <si>
    <t>0.15192466974258423</t>
  </si>
  <si>
    <t>0.2661348283290863</t>
  </si>
  <si>
    <t>9_4_19_2026_Banamex_grabacion_0.wav</t>
  </si>
  <si>
    <t>9_4_20_2026_Banamex_grabacion_0.wav</t>
  </si>
  <si>
    <t>Etiquetas de fila</t>
  </si>
  <si>
    <t>Total general</t>
  </si>
  <si>
    <t>Cantidad de Archivos</t>
  </si>
  <si>
    <t>Duración Total (seg)</t>
  </si>
  <si>
    <t>Promedio Audio Útil</t>
  </si>
  <si>
    <t>Promedio % Audio</t>
  </si>
  <si>
    <t>Cantidad</t>
  </si>
  <si>
    <t>RMS Promedio</t>
  </si>
  <si>
    <t>Etiquetas de columna</t>
  </si>
  <si>
    <t>Conteo</t>
  </si>
  <si>
    <t>📊 DASHBOARD DE ANÁLISIS DE AUDIO</t>
  </si>
  <si>
    <t>📈 RESUMEN ESTADÍSTICO</t>
  </si>
  <si>
    <t>Métrica</t>
  </si>
  <si>
    <t>Valor</t>
  </si>
  <si>
    <t>Total de Archivos</t>
  </si>
  <si>
    <t>Archivos con Audio</t>
  </si>
  <si>
    <t>Archivos Silenciosos</t>
  </si>
  <si>
    <t>Duración Total (min)</t>
  </si>
  <si>
    <t>Audio Útil Total (min)</t>
  </si>
  <si>
    <t>% Audio Útil Global</t>
  </si>
  <si>
    <t>Promedio RMS</t>
  </si>
  <si>
    <t>Rango Dinámico Promedio</t>
  </si>
  <si>
    <t>📉 ANÁLISIS DE CALIDAD POR CLASE</t>
  </si>
  <si>
    <t>Clase</t>
  </si>
  <si>
    <t>Rango Dinámico</t>
  </si>
  <si>
    <t>RMS 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</si>
</sst>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&quot;%&quot;"/>
    <numFmt numFmtId="166" formatCode="0.00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rgb="FF1F4E79"/>
      <name val="Aptos Narrow"/>
      <family val="2"/>
      <scheme val="minor"/>
    </font>
    <font>
      <b/>
      <sz val="14"/>
      <color rgb="FF1F4E79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/>
    <xf numFmtId="4" fontId="0" fillId="0" borderId="0" xfId="0" applyNumberFormat="1"/>
    <xf numFmtId="164" fontId="0" fillId="0" borderId="0" xfId="0" applyNumberFormat="1"/>
    <xf numFmtId="3" fontId="0" fillId="0" borderId="0" xfId="0" applyNumberFormat="1"/>
    <xf numFmtId="0" fontId="19" fillId="0" borderId="0" xfId="0" applyFont="1"/>
    <xf numFmtId="0" fontId="20" fillId="33" borderId="10" xfId="0" applyFont="1" applyFill="1" applyBorder="1"/>
    <xf numFmtId="0" fontId="0" fillId="0" borderId="10" xfId="0" applyBorder="1"/>
    <xf numFmtId="3" fontId="0" fillId="0" borderId="10" xfId="0" applyNumberFormat="1" applyBorder="1"/>
    <xf numFmtId="4" fontId="0" fillId="0" borderId="10" xfId="0" applyNumberFormat="1" applyBorder="1"/>
    <xf numFmtId="165" fontId="0" fillId="0" borderId="10" xfId="0" applyNumberFormat="1" applyBorder="1"/>
    <xf numFmtId="166" fontId="0" fillId="0" borderId="10" xfId="0" applyNumberFormat="1" applyBorder="1"/>
    <xf numFmtId="0" fontId="20" fillId="34" borderId="10" xfId="0" applyFont="1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6">
    <dxf>
      <numFmt numFmtId="3" formatCode="#,##0"/>
    </dxf>
    <dxf>
      <numFmt numFmtId="4" formatCode="#,##0.00"/>
    </dxf>
    <dxf>
      <numFmt numFmtId="164" formatCode="#,##0.00%"/>
    </dxf>
    <dxf>
      <numFmt numFmtId="164" formatCode="#,##0.00%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[reporte_audio.xlsx]Análisis_Dinámico!PivotClase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Cantidad de Archivos por Clase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Análisis_Dinámico!$B$3</c:f>
              <c:strCache>
                <c:ptCount val="1"/>
                <c:pt idx="0">
                  <c:v>Cantidad de Archivos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Análisis_Dinámico!$A$4:$A$9</c:f>
              <c:strCache>
                <c:ptCount val="5"/>
                <c:pt idx="0">
                  <c:v>gris</c:v>
                </c:pt>
                <c:pt idx="1">
                  <c:v>ivr_limpio</c:v>
                </c:pt>
                <c:pt idx="2">
                  <c:v>silencio_real</c:v>
                </c:pt>
                <c:pt idx="3">
                  <c:v>sospechoso</c:v>
                </c:pt>
                <c:pt idx="4">
                  <c:v>vacio</c:v>
                </c:pt>
              </c:strCache>
            </c:strRef>
          </c:cat>
          <c:val>
            <c:numRef>
              <c:f>Análisis_Dinámico!$B$4:$B$9</c:f>
              <c:numCache>
                <c:formatCode>General</c:formatCode>
                <c:ptCount val="5"/>
                <c:pt idx="0">
                  <c:v>17</c:v>
                </c:pt>
                <c:pt idx="1">
                  <c:v>4</c:v>
                </c:pt>
                <c:pt idx="2">
                  <c:v>36</c:v>
                </c:pt>
                <c:pt idx="3">
                  <c:v>37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D6-4FC4-9A4D-40539EC71DE6}"/>
            </c:ext>
          </c:extLst>
        </c:ser>
        <c:ser>
          <c:idx val="1"/>
          <c:order val="1"/>
          <c:tx>
            <c:strRef>
              <c:f>Análisis_Dinámico!$C$3</c:f>
              <c:strCache>
                <c:ptCount val="1"/>
                <c:pt idx="0">
                  <c:v>Duración Total (seg)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Análisis_Dinámico!$A$4:$A$9</c:f>
              <c:strCache>
                <c:ptCount val="5"/>
                <c:pt idx="0">
                  <c:v>gris</c:v>
                </c:pt>
                <c:pt idx="1">
                  <c:v>ivr_limpio</c:v>
                </c:pt>
                <c:pt idx="2">
                  <c:v>silencio_real</c:v>
                </c:pt>
                <c:pt idx="3">
                  <c:v>sospechoso</c:v>
                </c:pt>
                <c:pt idx="4">
                  <c:v>vacio</c:v>
                </c:pt>
              </c:strCache>
            </c:strRef>
          </c:cat>
          <c:val>
            <c:numRef>
              <c:f>Análisis_Dinámico!$C$4:$C$9</c:f>
              <c:numCache>
                <c:formatCode>#,##0</c:formatCode>
                <c:ptCount val="5"/>
                <c:pt idx="0">
                  <c:v>600</c:v>
                </c:pt>
                <c:pt idx="1">
                  <c:v>150</c:v>
                </c:pt>
                <c:pt idx="2">
                  <c:v>1080</c:v>
                </c:pt>
                <c:pt idx="3">
                  <c:v>1185</c:v>
                </c:pt>
                <c:pt idx="4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D6-4FC4-9A4D-40539EC71DE6}"/>
            </c:ext>
          </c:extLst>
        </c:ser>
        <c:ser>
          <c:idx val="2"/>
          <c:order val="2"/>
          <c:tx>
            <c:strRef>
              <c:f>Análisis_Dinámico!$D$3</c:f>
              <c:strCache>
                <c:ptCount val="1"/>
                <c:pt idx="0">
                  <c:v>Promedio Audio Útil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Análisis_Dinámico!$A$4:$A$9</c:f>
              <c:strCache>
                <c:ptCount val="5"/>
                <c:pt idx="0">
                  <c:v>gris</c:v>
                </c:pt>
                <c:pt idx="1">
                  <c:v>ivr_limpio</c:v>
                </c:pt>
                <c:pt idx="2">
                  <c:v>silencio_real</c:v>
                </c:pt>
                <c:pt idx="3">
                  <c:v>sospechoso</c:v>
                </c:pt>
                <c:pt idx="4">
                  <c:v>vacio</c:v>
                </c:pt>
              </c:strCache>
            </c:strRef>
          </c:cat>
          <c:val>
            <c:numRef>
              <c:f>Análisis_Dinámico!$D$4:$D$9</c:f>
              <c:numCache>
                <c:formatCode>#,##0.00</c:formatCode>
                <c:ptCount val="5"/>
                <c:pt idx="0">
                  <c:v>17.367529411764707</c:v>
                </c:pt>
                <c:pt idx="1">
                  <c:v>16.96</c:v>
                </c:pt>
                <c:pt idx="2">
                  <c:v>0</c:v>
                </c:pt>
                <c:pt idx="3">
                  <c:v>25.761945945945946</c:v>
                </c:pt>
                <c:pt idx="4">
                  <c:v>0.15786666666666666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D6-4FC4-9A4D-40539EC71DE6}"/>
            </c:ext>
          </c:extLst>
        </c:ser>
        <c:ser>
          <c:idx val="3"/>
          <c:order val="3"/>
          <c:tx>
            <c:strRef>
              <c:f>Análisis_Dinámico!$E$3</c:f>
              <c:strCache>
                <c:ptCount val="1"/>
                <c:pt idx="0">
                  <c:v>Promedio % Audio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Análisis_Dinámico!$A$4:$A$9</c:f>
              <c:strCache>
                <c:ptCount val="5"/>
                <c:pt idx="0">
                  <c:v>gris</c:v>
                </c:pt>
                <c:pt idx="1">
                  <c:v>ivr_limpio</c:v>
                </c:pt>
                <c:pt idx="2">
                  <c:v>silencio_real</c:v>
                </c:pt>
                <c:pt idx="3">
                  <c:v>sospechoso</c:v>
                </c:pt>
                <c:pt idx="4">
                  <c:v>vacio</c:v>
                </c:pt>
              </c:strCache>
            </c:strRef>
          </c:cat>
          <c:val>
            <c:numRef>
              <c:f>Análisis_Dinámico!$E$4:$E$9</c:f>
              <c:numCache>
                <c:formatCode>#,##0.00%</c:formatCode>
                <c:ptCount val="5"/>
                <c:pt idx="0">
                  <c:v>61.6</c:v>
                </c:pt>
                <c:pt idx="1">
                  <c:v>20.8</c:v>
                </c:pt>
                <c:pt idx="2">
                  <c:v>0</c:v>
                </c:pt>
                <c:pt idx="3">
                  <c:v>84.48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D6-4FC4-9A4D-40539EC71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107151"/>
        <c:axId val="1559104271"/>
      </c:barChart>
      <c:catAx>
        <c:axId val="155910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59104271"/>
        <c:crosses val="autoZero"/>
        <c:auto val="1"/>
        <c:lblAlgn val="ctr"/>
        <c:lblOffset val="100"/>
        <c:noMultiLvlLbl val="0"/>
      </c:catAx>
      <c:valAx>
        <c:axId val="155910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5910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[reporte_audio.xlsx]Análisis_Dinámico!PivotClase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 de Archivos por Clase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Análisis_Dinámico!$B$3</c:f>
              <c:strCache>
                <c:ptCount val="1"/>
                <c:pt idx="0">
                  <c:v>Cantidad de Archivos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Análisis_Dinámico!$A$4:$A$9</c:f>
              <c:strCache>
                <c:ptCount val="5"/>
                <c:pt idx="0">
                  <c:v>gris</c:v>
                </c:pt>
                <c:pt idx="1">
                  <c:v>ivr_limpio</c:v>
                </c:pt>
                <c:pt idx="2">
                  <c:v>silencio_real</c:v>
                </c:pt>
                <c:pt idx="3">
                  <c:v>sospechoso</c:v>
                </c:pt>
                <c:pt idx="4">
                  <c:v>vacio</c:v>
                </c:pt>
              </c:strCache>
            </c:strRef>
          </c:cat>
          <c:val>
            <c:numRef>
              <c:f>Análisis_Dinámico!$B$4:$B$9</c:f>
              <c:numCache>
                <c:formatCode>General</c:formatCode>
                <c:ptCount val="5"/>
                <c:pt idx="0">
                  <c:v>17</c:v>
                </c:pt>
                <c:pt idx="1">
                  <c:v>4</c:v>
                </c:pt>
                <c:pt idx="2">
                  <c:v>36</c:v>
                </c:pt>
                <c:pt idx="3">
                  <c:v>37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74-42E3-AD72-F3AF5BEEAF81}"/>
            </c:ext>
          </c:extLst>
        </c:ser>
        <c:ser>
          <c:idx val="1"/>
          <c:order val="1"/>
          <c:tx>
            <c:strRef>
              <c:f>Análisis_Dinámico!$C$3</c:f>
              <c:strCache>
                <c:ptCount val="1"/>
                <c:pt idx="0">
                  <c:v>Duración Total (seg)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Análisis_Dinámico!$A$4:$A$9</c:f>
              <c:strCache>
                <c:ptCount val="5"/>
                <c:pt idx="0">
                  <c:v>gris</c:v>
                </c:pt>
                <c:pt idx="1">
                  <c:v>ivr_limpio</c:v>
                </c:pt>
                <c:pt idx="2">
                  <c:v>silencio_real</c:v>
                </c:pt>
                <c:pt idx="3">
                  <c:v>sospechoso</c:v>
                </c:pt>
                <c:pt idx="4">
                  <c:v>vacio</c:v>
                </c:pt>
              </c:strCache>
            </c:strRef>
          </c:cat>
          <c:val>
            <c:numRef>
              <c:f>Análisis_Dinámico!$C$4:$C$9</c:f>
              <c:numCache>
                <c:formatCode>#,##0</c:formatCode>
                <c:ptCount val="5"/>
                <c:pt idx="0">
                  <c:v>600</c:v>
                </c:pt>
                <c:pt idx="1">
                  <c:v>150</c:v>
                </c:pt>
                <c:pt idx="2">
                  <c:v>1080</c:v>
                </c:pt>
                <c:pt idx="3">
                  <c:v>1185</c:v>
                </c:pt>
                <c:pt idx="4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74-42E3-AD72-F3AF5BEEAF81}"/>
            </c:ext>
          </c:extLst>
        </c:ser>
        <c:ser>
          <c:idx val="2"/>
          <c:order val="2"/>
          <c:tx>
            <c:strRef>
              <c:f>Análisis_Dinámico!$D$3</c:f>
              <c:strCache>
                <c:ptCount val="1"/>
                <c:pt idx="0">
                  <c:v>Promedio Audio Útil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Análisis_Dinámico!$A$4:$A$9</c:f>
              <c:strCache>
                <c:ptCount val="5"/>
                <c:pt idx="0">
                  <c:v>gris</c:v>
                </c:pt>
                <c:pt idx="1">
                  <c:v>ivr_limpio</c:v>
                </c:pt>
                <c:pt idx="2">
                  <c:v>silencio_real</c:v>
                </c:pt>
                <c:pt idx="3">
                  <c:v>sospechoso</c:v>
                </c:pt>
                <c:pt idx="4">
                  <c:v>vacio</c:v>
                </c:pt>
              </c:strCache>
            </c:strRef>
          </c:cat>
          <c:val>
            <c:numRef>
              <c:f>Análisis_Dinámico!$D$4:$D$9</c:f>
              <c:numCache>
                <c:formatCode>#,##0.00</c:formatCode>
                <c:ptCount val="5"/>
                <c:pt idx="0">
                  <c:v>17.367529411764707</c:v>
                </c:pt>
                <c:pt idx="1">
                  <c:v>16.96</c:v>
                </c:pt>
                <c:pt idx="2">
                  <c:v>0</c:v>
                </c:pt>
                <c:pt idx="3">
                  <c:v>25.761945945945946</c:v>
                </c:pt>
                <c:pt idx="4">
                  <c:v>0.15786666666666666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74-42E3-AD72-F3AF5BEEAF81}"/>
            </c:ext>
          </c:extLst>
        </c:ser>
        <c:ser>
          <c:idx val="3"/>
          <c:order val="3"/>
          <c:tx>
            <c:strRef>
              <c:f>Análisis_Dinámico!$E$3</c:f>
              <c:strCache>
                <c:ptCount val="1"/>
                <c:pt idx="0">
                  <c:v>Promedio % Audio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Análisis_Dinámico!$A$4:$A$9</c:f>
              <c:strCache>
                <c:ptCount val="5"/>
                <c:pt idx="0">
                  <c:v>gris</c:v>
                </c:pt>
                <c:pt idx="1">
                  <c:v>ivr_limpio</c:v>
                </c:pt>
                <c:pt idx="2">
                  <c:v>silencio_real</c:v>
                </c:pt>
                <c:pt idx="3">
                  <c:v>sospechoso</c:v>
                </c:pt>
                <c:pt idx="4">
                  <c:v>vacio</c:v>
                </c:pt>
              </c:strCache>
            </c:strRef>
          </c:cat>
          <c:val>
            <c:numRef>
              <c:f>Análisis_Dinámico!$E$4:$E$9</c:f>
              <c:numCache>
                <c:formatCode>#,##0.00%</c:formatCode>
                <c:ptCount val="5"/>
                <c:pt idx="0">
                  <c:v>61.6</c:v>
                </c:pt>
                <c:pt idx="1">
                  <c:v>20.8</c:v>
                </c:pt>
                <c:pt idx="2">
                  <c:v>0</c:v>
                </c:pt>
                <c:pt idx="3">
                  <c:v>84.48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74-42E3-AD72-F3AF5BEEA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[reporte_audio.xlsx]Análisis_Dinámico!PivotClase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Métricas de Audio por Clase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Análisis_Dinámico!$B$3</c:f>
              <c:strCache>
                <c:ptCount val="1"/>
                <c:pt idx="0">
                  <c:v>Cantidad de Archivos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Análisis_Dinámico!$A$4:$A$9</c:f>
              <c:strCache>
                <c:ptCount val="5"/>
                <c:pt idx="0">
                  <c:v>gris</c:v>
                </c:pt>
                <c:pt idx="1">
                  <c:v>ivr_limpio</c:v>
                </c:pt>
                <c:pt idx="2">
                  <c:v>silencio_real</c:v>
                </c:pt>
                <c:pt idx="3">
                  <c:v>sospechoso</c:v>
                </c:pt>
                <c:pt idx="4">
                  <c:v>vacio</c:v>
                </c:pt>
              </c:strCache>
            </c:strRef>
          </c:cat>
          <c:val>
            <c:numRef>
              <c:f>Análisis_Dinámico!$B$4:$B$9</c:f>
              <c:numCache>
                <c:formatCode>General</c:formatCode>
                <c:ptCount val="5"/>
                <c:pt idx="0">
                  <c:v>17</c:v>
                </c:pt>
                <c:pt idx="1">
                  <c:v>4</c:v>
                </c:pt>
                <c:pt idx="2">
                  <c:v>36</c:v>
                </c:pt>
                <c:pt idx="3">
                  <c:v>37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93-4E2A-8757-61D26E63C0A7}"/>
            </c:ext>
          </c:extLst>
        </c:ser>
        <c:ser>
          <c:idx val="1"/>
          <c:order val="1"/>
          <c:tx>
            <c:strRef>
              <c:f>Análisis_Dinámico!$C$3</c:f>
              <c:strCache>
                <c:ptCount val="1"/>
                <c:pt idx="0">
                  <c:v>Duración Total (seg)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Análisis_Dinámico!$A$4:$A$9</c:f>
              <c:strCache>
                <c:ptCount val="5"/>
                <c:pt idx="0">
                  <c:v>gris</c:v>
                </c:pt>
                <c:pt idx="1">
                  <c:v>ivr_limpio</c:v>
                </c:pt>
                <c:pt idx="2">
                  <c:v>silencio_real</c:v>
                </c:pt>
                <c:pt idx="3">
                  <c:v>sospechoso</c:v>
                </c:pt>
                <c:pt idx="4">
                  <c:v>vacio</c:v>
                </c:pt>
              </c:strCache>
            </c:strRef>
          </c:cat>
          <c:val>
            <c:numRef>
              <c:f>Análisis_Dinámico!$C$4:$C$9</c:f>
              <c:numCache>
                <c:formatCode>#,##0</c:formatCode>
                <c:ptCount val="5"/>
                <c:pt idx="0">
                  <c:v>600</c:v>
                </c:pt>
                <c:pt idx="1">
                  <c:v>150</c:v>
                </c:pt>
                <c:pt idx="2">
                  <c:v>1080</c:v>
                </c:pt>
                <c:pt idx="3">
                  <c:v>1185</c:v>
                </c:pt>
                <c:pt idx="4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93-4E2A-8757-61D26E63C0A7}"/>
            </c:ext>
          </c:extLst>
        </c:ser>
        <c:ser>
          <c:idx val="2"/>
          <c:order val="2"/>
          <c:tx>
            <c:strRef>
              <c:f>Análisis_Dinámico!$D$3</c:f>
              <c:strCache>
                <c:ptCount val="1"/>
                <c:pt idx="0">
                  <c:v>Promedio Audio Útil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Análisis_Dinámico!$A$4:$A$9</c:f>
              <c:strCache>
                <c:ptCount val="5"/>
                <c:pt idx="0">
                  <c:v>gris</c:v>
                </c:pt>
                <c:pt idx="1">
                  <c:v>ivr_limpio</c:v>
                </c:pt>
                <c:pt idx="2">
                  <c:v>silencio_real</c:v>
                </c:pt>
                <c:pt idx="3">
                  <c:v>sospechoso</c:v>
                </c:pt>
                <c:pt idx="4">
                  <c:v>vacio</c:v>
                </c:pt>
              </c:strCache>
            </c:strRef>
          </c:cat>
          <c:val>
            <c:numRef>
              <c:f>Análisis_Dinámico!$D$4:$D$9</c:f>
              <c:numCache>
                <c:formatCode>#,##0.00</c:formatCode>
                <c:ptCount val="5"/>
                <c:pt idx="0">
                  <c:v>17.367529411764707</c:v>
                </c:pt>
                <c:pt idx="1">
                  <c:v>16.96</c:v>
                </c:pt>
                <c:pt idx="2">
                  <c:v>0</c:v>
                </c:pt>
                <c:pt idx="3">
                  <c:v>25.761945945945946</c:v>
                </c:pt>
                <c:pt idx="4">
                  <c:v>0.15786666666666666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93-4E2A-8757-61D26E63C0A7}"/>
            </c:ext>
          </c:extLst>
        </c:ser>
        <c:ser>
          <c:idx val="3"/>
          <c:order val="3"/>
          <c:tx>
            <c:strRef>
              <c:f>Análisis_Dinámico!$E$3</c:f>
              <c:strCache>
                <c:ptCount val="1"/>
                <c:pt idx="0">
                  <c:v>Promedio % Audio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Análisis_Dinámico!$A$4:$A$9</c:f>
              <c:strCache>
                <c:ptCount val="5"/>
                <c:pt idx="0">
                  <c:v>gris</c:v>
                </c:pt>
                <c:pt idx="1">
                  <c:v>ivr_limpio</c:v>
                </c:pt>
                <c:pt idx="2">
                  <c:v>silencio_real</c:v>
                </c:pt>
                <c:pt idx="3">
                  <c:v>sospechoso</c:v>
                </c:pt>
                <c:pt idx="4">
                  <c:v>vacio</c:v>
                </c:pt>
              </c:strCache>
            </c:strRef>
          </c:cat>
          <c:val>
            <c:numRef>
              <c:f>Análisis_Dinámico!$E$4:$E$9</c:f>
              <c:numCache>
                <c:formatCode>#,##0.00%</c:formatCode>
                <c:ptCount val="5"/>
                <c:pt idx="0">
                  <c:v>61.6</c:v>
                </c:pt>
                <c:pt idx="1">
                  <c:v>20.8</c:v>
                </c:pt>
                <c:pt idx="2">
                  <c:v>0</c:v>
                </c:pt>
                <c:pt idx="3">
                  <c:v>84.48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93-4E2A-8757-61D26E63C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0630959"/>
        <c:axId val="310630479"/>
      </c:barChart>
      <c:catAx>
        <c:axId val="310630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10630479"/>
        <c:crosses val="autoZero"/>
        <c:auto val="1"/>
        <c:lblAlgn val="ctr"/>
        <c:lblOffset val="100"/>
        <c:noMultiLvlLbl val="0"/>
      </c:catAx>
      <c:valAx>
        <c:axId val="31063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1063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[reporte_audio.xlsx]Análisis_Dinámico!PivotFrases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Distribución por Número de Frases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rgbClr val="5B9BD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Análisis_Dinámico!$B$12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cat>
            <c:strRef>
              <c:f>Análisis_Dinámico!$A$13:$A$19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Análisis_Dinámico!$B$13:$B$19</c:f>
              <c:numCache>
                <c:formatCode>General</c:formatCode>
                <c:ptCount val="6"/>
                <c:pt idx="0">
                  <c:v>36</c:v>
                </c:pt>
                <c:pt idx="1">
                  <c:v>24</c:v>
                </c:pt>
                <c:pt idx="2">
                  <c:v>2</c:v>
                </c:pt>
                <c:pt idx="3">
                  <c:v>6</c:v>
                </c:pt>
                <c:pt idx="4">
                  <c:v>7</c:v>
                </c:pt>
                <c:pt idx="5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7-4883-9A94-4F2FED8B2212}"/>
            </c:ext>
          </c:extLst>
        </c:ser>
        <c:ser>
          <c:idx val="1"/>
          <c:order val="1"/>
          <c:tx>
            <c:strRef>
              <c:f>Análisis_Dinámico!$C$12</c:f>
              <c:strCache>
                <c:ptCount val="1"/>
                <c:pt idx="0">
                  <c:v>RMS Promedio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Análisis_Dinámico!$A$13:$A$19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Análisis_Dinámico!$C$13:$C$19</c:f>
              <c:numCache>
                <c:formatCode>General</c:formatCode>
                <c:ptCount val="6"/>
                <c:pt idx="0">
                  <c:v>0</c:v>
                </c:pt>
                <c:pt idx="1">
                  <c:v>1.3520868406409299E-2</c:v>
                </c:pt>
                <c:pt idx="2">
                  <c:v>#N/A</c:v>
                </c:pt>
                <c:pt idx="3">
                  <c:v>7.26495906710624E-2</c:v>
                </c:pt>
                <c:pt idx="4">
                  <c:v>0.105396568775177</c:v>
                </c:pt>
                <c:pt idx="5">
                  <c:v>0.14832674215237299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77-4883-9A94-4F2FED8B2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1228127"/>
        <c:axId val="1601226207"/>
      </c:barChart>
      <c:catAx>
        <c:axId val="160122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01226207"/>
        <c:crosses val="autoZero"/>
        <c:auto val="1"/>
        <c:lblAlgn val="ctr"/>
        <c:lblOffset val="100"/>
        <c:noMultiLvlLbl val="0"/>
      </c:catAx>
      <c:valAx>
        <c:axId val="160122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01228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[reporte_audio.xlsx]Análisis_Dinámico!PivotCruzado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Distribución Clase vs Número de Frases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Análisis_Dinámico!$B$22:$B$23</c:f>
              <c:strCache>
                <c:ptCount val="1"/>
                <c:pt idx="0">
                  <c:v>gris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Análisis_Dinámico!$A$24:$A$30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Análisis_Dinámico!$B$24:$B$30</c:f>
              <c:numCache>
                <c:formatCode>General</c:formatCode>
                <c:ptCount val="6"/>
                <c:pt idx="1">
                  <c:v>5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7E-4215-8919-8CE0CF4ABB5F}"/>
            </c:ext>
          </c:extLst>
        </c:ser>
        <c:ser>
          <c:idx val="1"/>
          <c:order val="1"/>
          <c:tx>
            <c:strRef>
              <c:f>Análisis_Dinámico!$C$22:$C$23</c:f>
              <c:strCache>
                <c:ptCount val="1"/>
                <c:pt idx="0">
                  <c:v>ivr_limpio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Análisis_Dinámico!$A$24:$A$30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Análisis_Dinámico!$C$24:$C$30</c:f>
              <c:numCache>
                <c:formatCode>General</c:formatCode>
                <c:ptCount val="6"/>
                <c:pt idx="1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7E-4215-8919-8CE0CF4ABB5F}"/>
            </c:ext>
          </c:extLst>
        </c:ser>
        <c:ser>
          <c:idx val="2"/>
          <c:order val="2"/>
          <c:tx>
            <c:strRef>
              <c:f>Análisis_Dinámico!$D$22:$D$23</c:f>
              <c:strCache>
                <c:ptCount val="1"/>
                <c:pt idx="0">
                  <c:v>silencio_real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Análisis_Dinámico!$A$24:$A$30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Análisis_Dinámico!$D$24:$D$30</c:f>
              <c:numCache>
                <c:formatCode>General</c:formatCode>
                <c:ptCount val="6"/>
                <c:pt idx="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7E-4215-8919-8CE0CF4ABB5F}"/>
            </c:ext>
          </c:extLst>
        </c:ser>
        <c:ser>
          <c:idx val="3"/>
          <c:order val="3"/>
          <c:tx>
            <c:strRef>
              <c:f>Análisis_Dinámico!$E$22:$E$23</c:f>
              <c:strCache>
                <c:ptCount val="1"/>
                <c:pt idx="0">
                  <c:v>sospechoso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Análisis_Dinámico!$A$24:$A$30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Análisis_Dinámico!$E$24:$E$30</c:f>
              <c:numCache>
                <c:formatCode>General</c:formatCode>
                <c:ptCount val="6"/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7E-4215-8919-8CE0CF4ABB5F}"/>
            </c:ext>
          </c:extLst>
        </c:ser>
        <c:ser>
          <c:idx val="4"/>
          <c:order val="4"/>
          <c:tx>
            <c:strRef>
              <c:f>Análisis_Dinámico!$F$22:$F$23</c:f>
              <c:strCache>
                <c:ptCount val="1"/>
                <c:pt idx="0">
                  <c:v>vacio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Análisis_Dinámico!$A$24:$A$30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Análisis_Dinámico!$F$24:$F$30</c:f>
              <c:numCache>
                <c:formatCode>General</c:formatCode>
                <c:ptCount val="6"/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7E-4215-8919-8CE0CF4AB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07840895"/>
        <c:axId val="305649519"/>
      </c:barChart>
      <c:catAx>
        <c:axId val="30784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05649519"/>
        <c:crosses val="autoZero"/>
        <c:auto val="1"/>
        <c:lblAlgn val="ctr"/>
        <c:lblOffset val="100"/>
        <c:noMultiLvlLbl val="0"/>
      </c:catAx>
      <c:valAx>
        <c:axId val="30564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0784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Métricas de Calidad de Audio por Clase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Análisis_Dinámico!$B$47</c:f>
              <c:strCache>
                <c:ptCount val="1"/>
                <c:pt idx="0">
                  <c:v>RMS Promedio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Análisis_Dinámico!$A$48:$A$52</c:f>
              <c:strCache>
                <c:ptCount val="5"/>
                <c:pt idx="0">
                  <c:v>gris</c:v>
                </c:pt>
                <c:pt idx="1">
                  <c:v>ivr_limpio</c:v>
                </c:pt>
                <c:pt idx="2">
                  <c:v>silencio_real</c:v>
                </c:pt>
                <c:pt idx="3">
                  <c:v>sospechoso</c:v>
                </c:pt>
                <c:pt idx="4">
                  <c:v>vacio</c:v>
                </c:pt>
              </c:strCache>
            </c:strRef>
          </c:cat>
          <c:val>
            <c:numRef>
              <c:f>Análisis_Dinámico!$B$48:$B$52</c:f>
              <c:numCache>
                <c:formatCode>0.0000</c:formatCode>
                <c:ptCount val="5"/>
                <c:pt idx="0">
                  <c:v>6.4338646829128252E-2</c:v>
                </c:pt>
                <c:pt idx="1">
                  <c:v>6.7007035017013494E-2</c:v>
                </c:pt>
                <c:pt idx="2">
                  <c:v>0</c:v>
                </c:pt>
                <c:pt idx="3">
                  <c:v>0.1612900123000145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01-45F8-95D6-2742246EAAAD}"/>
            </c:ext>
          </c:extLst>
        </c:ser>
        <c:ser>
          <c:idx val="1"/>
          <c:order val="1"/>
          <c:tx>
            <c:strRef>
              <c:f>Análisis_Dinámico!$C$47</c:f>
              <c:strCache>
                <c:ptCount val="1"/>
                <c:pt idx="0">
                  <c:v>Rango Dinámico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Análisis_Dinámico!$A$48:$A$52</c:f>
              <c:strCache>
                <c:ptCount val="5"/>
                <c:pt idx="0">
                  <c:v>gris</c:v>
                </c:pt>
                <c:pt idx="1">
                  <c:v>ivr_limpio</c:v>
                </c:pt>
                <c:pt idx="2">
                  <c:v>silencio_real</c:v>
                </c:pt>
                <c:pt idx="3">
                  <c:v>sospechoso</c:v>
                </c:pt>
                <c:pt idx="4">
                  <c:v>vacio</c:v>
                </c:pt>
              </c:strCache>
            </c:strRef>
          </c:cat>
          <c:val>
            <c:numRef>
              <c:f>Análisis_Dinámico!$C$48:$C$52</c:f>
              <c:numCache>
                <c:formatCode>0.0000</c:formatCode>
                <c:ptCount val="5"/>
                <c:pt idx="0">
                  <c:v>0</c:v>
                </c:pt>
                <c:pt idx="1">
                  <c:v>6.2407833834489168E-2</c:v>
                </c:pt>
                <c:pt idx="2">
                  <c:v>0</c:v>
                </c:pt>
                <c:pt idx="3">
                  <c:v>0.61168830096721649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01-45F8-95D6-2742246EAAAD}"/>
            </c:ext>
          </c:extLst>
        </c:ser>
        <c:ser>
          <c:idx val="2"/>
          <c:order val="2"/>
          <c:tx>
            <c:strRef>
              <c:f>Análisis_Dinámico!$D$47</c:f>
              <c:strCache>
                <c:ptCount val="1"/>
                <c:pt idx="0">
                  <c:v>RMS Std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Análisis_Dinámico!$A$48:$A$52</c:f>
              <c:strCache>
                <c:ptCount val="5"/>
                <c:pt idx="0">
                  <c:v>gris</c:v>
                </c:pt>
                <c:pt idx="1">
                  <c:v>ivr_limpio</c:v>
                </c:pt>
                <c:pt idx="2">
                  <c:v>silencio_real</c:v>
                </c:pt>
                <c:pt idx="3">
                  <c:v>sospechoso</c:v>
                </c:pt>
                <c:pt idx="4">
                  <c:v>vacio</c:v>
                </c:pt>
              </c:strCache>
            </c:strRef>
          </c:cat>
          <c:val>
            <c:numRef>
              <c:f>Análisis_Dinámico!$D$48:$D$52</c:f>
              <c:numCache>
                <c:formatCode>0.0000</c:formatCode>
                <c:ptCount val="5"/>
                <c:pt idx="0">
                  <c:v>4.748999451597527E-2</c:v>
                </c:pt>
                <c:pt idx="1">
                  <c:v>4.2883263668045402E-3</c:v>
                </c:pt>
                <c:pt idx="2">
                  <c:v>0</c:v>
                </c:pt>
                <c:pt idx="3">
                  <c:v>9.2889112730820941E-2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01-45F8-95D6-2742246EA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950895"/>
        <c:axId val="53951375"/>
      </c:barChart>
      <c:catAx>
        <c:axId val="5395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3951375"/>
        <c:crosses val="autoZero"/>
        <c:auto val="1"/>
        <c:lblAlgn val="ctr"/>
        <c:lblOffset val="100"/>
        <c:noMultiLvlLbl val="0"/>
      </c:catAx>
      <c:valAx>
        <c:axId val="5395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395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AFC8846-8E44-F12D-FFE9-13274B9525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15</xdr:col>
      <xdr:colOff>0</xdr:colOff>
      <xdr:row>35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0E058D8-970A-34B2-1976-47E9257DAB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2</xdr:row>
      <xdr:rowOff>0</xdr:rowOff>
    </xdr:from>
    <xdr:to>
      <xdr:col>24</xdr:col>
      <xdr:colOff>0</xdr:colOff>
      <xdr:row>18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28B1FFB-551F-8FA6-55C9-4831045E8F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37</xdr:row>
      <xdr:rowOff>0</xdr:rowOff>
    </xdr:from>
    <xdr:to>
      <xdr:col>15</xdr:col>
      <xdr:colOff>0</xdr:colOff>
      <xdr:row>53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4946C60-8830-F0B5-2C6F-7BB2E36B16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0</xdr:colOff>
      <xdr:row>19</xdr:row>
      <xdr:rowOff>0</xdr:rowOff>
    </xdr:from>
    <xdr:to>
      <xdr:col>26</xdr:col>
      <xdr:colOff>0</xdr:colOff>
      <xdr:row>38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1F1EF01-7B10-0A12-8ED7-0CBE6874AA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807720</xdr:colOff>
      <xdr:row>53</xdr:row>
      <xdr:rowOff>76200</xdr:rowOff>
    </xdr:from>
    <xdr:to>
      <xdr:col>15</xdr:col>
      <xdr:colOff>15240</xdr:colOff>
      <xdr:row>69</xdr:row>
      <xdr:rowOff>121920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D2BF5EF-2D94-3242-BFC2-249E19ECD7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nny" refreshedDate="46140.857801388891" createdVersion="8" refreshedVersion="8" minRefreshableVersion="3" recordCount="109" xr:uid="{D0A216F9-282B-42D7-B337-356717496AAF}">
  <cacheSource type="worksheet">
    <worksheetSource ref="A1:I110" sheet="reporte_audio5"/>
  </cacheSource>
  <cacheFields count="9">
    <cacheField name="archivo" numFmtId="0">
      <sharedItems/>
    </cacheField>
    <cacheField name="duracion_total" numFmtId="0">
      <sharedItems containsSemiMixedTypes="0" containsString="0" containsNumber="1" containsInteger="1" minValue="30" maxValue="45"/>
    </cacheField>
    <cacheField name="audio_util" numFmtId="0">
      <sharedItems containsSemiMixedTypes="0" containsString="0" containsNumber="1" minValue="0" maxValue="42.247999999999998"/>
    </cacheField>
    <cacheField name="porcentaje_audio" numFmtId="0">
      <sharedItems containsMixedTypes="1" containsNumber="1" minValue="0" maxValue="84.48"/>
    </cacheField>
    <cacheField name="num_frases" numFmtId="0">
      <sharedItems containsSemiMixedTypes="0" containsString="0" containsNumber="1" containsInteger="1" minValue="0" maxValue="6" count="6">
        <n v="4"/>
        <n v="0"/>
        <n v="6"/>
        <n v="1"/>
        <n v="5"/>
        <n v="2"/>
      </sharedItems>
    </cacheField>
    <cacheField name="rms_mean" numFmtId="0">
      <sharedItems containsMixedTypes="1" containsNumber="1" minValue="0" maxValue="0.166426882147789"/>
    </cacheField>
    <cacheField name="rms_std" numFmtId="0">
      <sharedItems containsMixedTypes="1" containsNumber="1" minValue="0" maxValue="9.4447225332260104E-2"/>
    </cacheField>
    <cacheField name="rango_dinamico" numFmtId="0">
      <sharedItems containsMixedTypes="1" containsNumber="1" minValue="0" maxValue="0.63538473844528198"/>
    </cacheField>
    <cacheField name="clase" numFmtId="0">
      <sharedItems count="5">
        <s v="ivr_limpio"/>
        <s v="silencio_real"/>
        <s v="gris"/>
        <s v="sospechoso"/>
        <s v="vaci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s v="104_12_18_2024_CNOCgrabacion3_d.wav"/>
    <n v="45"/>
    <n v="15.872"/>
    <s v="35.27111111111111"/>
    <x v="0"/>
    <n v="7.26495906710624E-2"/>
    <s v="0.019200729206204414"/>
    <n v="7.2515547275543199E-2"/>
    <x v="0"/>
  </r>
  <r>
    <s v="11_4_18_2026_Banamex_grabacion_0.wav"/>
    <n v="30"/>
    <n v="0"/>
    <n v="0"/>
    <x v="1"/>
    <n v="0"/>
    <n v="0"/>
    <n v="0"/>
    <x v="1"/>
  </r>
  <r>
    <s v="11_4_18_2026_Banamex_grabacion_1.wav"/>
    <n v="30"/>
    <n v="0"/>
    <n v="0"/>
    <x v="1"/>
    <n v="0"/>
    <n v="0"/>
    <n v="0"/>
    <x v="1"/>
  </r>
  <r>
    <s v="11_4_20_2026_Banamex_grabacion_0.wav"/>
    <n v="30"/>
    <n v="0"/>
    <n v="0"/>
    <x v="1"/>
    <n v="0"/>
    <n v="0"/>
    <n v="0"/>
    <x v="1"/>
  </r>
  <r>
    <s v="11_4_21_2026_Banamex_grabacion_0.wav"/>
    <n v="30"/>
    <n v="0"/>
    <n v="0"/>
    <x v="1"/>
    <n v="0"/>
    <n v="0"/>
    <n v="0"/>
    <x v="1"/>
  </r>
  <r>
    <s v="11_4_21_2026_Banamex_grabacion_1.wav"/>
    <n v="30"/>
    <n v="0"/>
    <n v="0"/>
    <x v="1"/>
    <n v="0"/>
    <n v="0"/>
    <n v="0"/>
    <x v="1"/>
  </r>
  <r>
    <s v="11_4_21_2026_Banamex_grabacion_2.wav"/>
    <n v="30"/>
    <n v="0"/>
    <n v="0"/>
    <x v="1"/>
    <n v="0"/>
    <n v="0"/>
    <n v="0"/>
    <x v="1"/>
  </r>
  <r>
    <s v="123_12_18_2024_CNOCgrabacion3_d.wav"/>
    <n v="45"/>
    <n v="27.135999999999999"/>
    <s v="60.30222222222223"/>
    <x v="2"/>
    <n v="0.12240020185709"/>
    <n v="5.8892797678709002E-2"/>
    <s v="0.2290697991847992"/>
    <x v="2"/>
  </r>
  <r>
    <s v="13_4_23_2026_BBVAgrabacion_0.wav"/>
    <n v="30"/>
    <n v="0"/>
    <n v="0"/>
    <x v="1"/>
    <n v="0"/>
    <n v="0"/>
    <n v="0"/>
    <x v="1"/>
  </r>
  <r>
    <s v="14_4_23_2026_BBVAgrabacion_0.wav"/>
    <n v="30"/>
    <n v="0"/>
    <n v="0"/>
    <x v="1"/>
    <n v="0"/>
    <n v="0"/>
    <n v="0"/>
    <x v="1"/>
  </r>
  <r>
    <s v="161_12_18_2024_CNOCgrabacion3_d.wav"/>
    <n v="45"/>
    <n v="26.207999999999998"/>
    <s v="58.239999999999995"/>
    <x v="2"/>
    <s v="0.13998878002166748"/>
    <n v="6.5348029136657701E-2"/>
    <s v="0.2426876723766327"/>
    <x v="2"/>
  </r>
  <r>
    <s v="18_4_22_2026_BBVAgrabacion_0.wav"/>
    <n v="30"/>
    <n v="0"/>
    <n v="0"/>
    <x v="1"/>
    <n v="0"/>
    <n v="0"/>
    <n v="0"/>
    <x v="1"/>
  </r>
  <r>
    <s v="1_2_13_2025_BBVAgrabacion3.wav"/>
    <n v="45"/>
    <n v="11.84"/>
    <s v="26.311111111111114"/>
    <x v="3"/>
    <s v="0.3184951841831207"/>
    <s v="0.13125017285346985"/>
    <s v="0.6268747448921204"/>
    <x v="3"/>
  </r>
  <r>
    <s v="1_2_13_2025_CNOCgrabacion3.wav"/>
    <n v="45"/>
    <n v="27.103999999999999"/>
    <s v="60.23111111111111"/>
    <x v="4"/>
    <s v="0.20224399864673615"/>
    <n v="5.7873051613569197E-2"/>
    <s v="0.2972279191017151"/>
    <x v="2"/>
  </r>
  <r>
    <s v="1_2_26_2025_BBVAgrabacion3.wav"/>
    <n v="45"/>
    <n v="17.984000000000002"/>
    <s v="39.964444444444446"/>
    <x v="4"/>
    <s v="0.24554678797721863"/>
    <s v="0.11231619119644165"/>
    <s v="0.5735589861869812"/>
    <x v="3"/>
  </r>
  <r>
    <s v="1_3_13_2026_Vidanta_grabacion3.wav"/>
    <n v="30"/>
    <n v="5.6959999999999997"/>
    <s v="18.986666666666665"/>
    <x v="3"/>
    <n v="0"/>
    <n v="0"/>
    <n v="0"/>
    <x v="2"/>
  </r>
  <r>
    <s v="1_3_14_2026_Vidanta_grabacion3.wav"/>
    <n v="30"/>
    <n v="6.1760000000000002"/>
    <s v="20.586666666666666"/>
    <x v="3"/>
    <n v="7.6909713447093894E-2"/>
    <n v="6.6921211779117501E-2"/>
    <s v="0.29692307114601135"/>
    <x v="2"/>
  </r>
  <r>
    <s v="1_3_22_2026_GNPgrabacion_0.wav"/>
    <n v="30"/>
    <n v="25.423999999999999"/>
    <s v="84.74666666666667"/>
    <x v="2"/>
    <s v="0.1596030741930008"/>
    <s v="0.12358314543962479"/>
    <s v="0.6387531757354736"/>
    <x v="3"/>
  </r>
  <r>
    <s v="1_3_23_2026_GNPgrabacion_0.wav"/>
    <n v="30"/>
    <n v="25.456"/>
    <s v="84.85333333333334"/>
    <x v="2"/>
    <s v="0.17241261899471283"/>
    <s v="0.12992624938488007"/>
    <s v="0.6294113993644714"/>
    <x v="3"/>
  </r>
  <r>
    <s v="1_3_24_2026_GNPgrabacion_0.wav"/>
    <n v="30"/>
    <n v="25.488"/>
    <s v="84.96000000000001"/>
    <x v="2"/>
    <s v="0.15861353278160095"/>
    <s v="0.12420286983251572"/>
    <s v="0.6270979046821594"/>
    <x v="3"/>
  </r>
  <r>
    <s v="1_3_25_2026_GNPgrabacion_0.wav"/>
    <n v="30"/>
    <n v="25.488"/>
    <s v="84.96000000000001"/>
    <x v="2"/>
    <s v="0.1555953323841095"/>
    <s v="0.1208520233631134"/>
    <s v="0.6221332550048828"/>
    <x v="3"/>
  </r>
  <r>
    <s v="1_3_26_2026_GNPgrabacion_0.wav"/>
    <n v="30"/>
    <n v="25.135999999999999"/>
    <s v="83.78666666666666"/>
    <x v="2"/>
    <s v="0.15809926390647888"/>
    <s v="0.12343672662973404"/>
    <s v="0.6299790740013123"/>
    <x v="3"/>
  </r>
  <r>
    <s v="1_3_27_2026_GNPgrabacion_0.wav"/>
    <n v="30"/>
    <n v="25.52"/>
    <s v="85.06666666666666"/>
    <x v="2"/>
    <s v="0.15288040041923523"/>
    <s v="0.11975608021020889"/>
    <s v="0.6261981129646301"/>
    <x v="3"/>
  </r>
  <r>
    <s v="1_3_28_2026_GNPgrabacion_0.wav"/>
    <n v="30"/>
    <n v="0"/>
    <n v="0"/>
    <x v="1"/>
    <n v="0"/>
    <n v="0"/>
    <n v="0"/>
    <x v="1"/>
  </r>
  <r>
    <s v="1_3_28_2026_GNPgrabacion_1.wav"/>
    <n v="30"/>
    <n v="25.423999999999999"/>
    <s v="84.74666666666667"/>
    <x v="2"/>
    <s v="0.15257327258586884"/>
    <s v="0.11921215057373047"/>
    <s v="0.6257768869400024"/>
    <x v="3"/>
  </r>
  <r>
    <s v="1_3_29_2026_GNPgrabacion_0.wav"/>
    <n v="30"/>
    <n v="25.423999999999999"/>
    <s v="84.74666666666667"/>
    <x v="2"/>
    <s v="0.1634163111448288"/>
    <s v="0.12848827242851257"/>
    <s v="0.6243899464607239"/>
    <x v="3"/>
  </r>
  <r>
    <s v="1_3_30_2026_GNPgrabacion_0.wav"/>
    <n v="30"/>
    <n v="25.456"/>
    <s v="84.85333333333334"/>
    <x v="2"/>
    <s v="0.16637347638607025"/>
    <s v="0.1302197426557541"/>
    <s v="0.6268052458763123"/>
    <x v="3"/>
  </r>
  <r>
    <s v="1_3_31_2026_GNPgrabacion_0.wav"/>
    <n v="30"/>
    <n v="25.44"/>
    <s v="84.80000000000001"/>
    <x v="2"/>
    <s v="0.16686776280403137"/>
    <s v="0.12955456972122192"/>
    <s v="0.6295644044876099"/>
    <x v="3"/>
  </r>
  <r>
    <s v="1_4_10_2026_GNPgrabacion_0.wav"/>
    <n v="30"/>
    <n v="25.423999999999999"/>
    <s v="84.74666666666667"/>
    <x v="2"/>
    <s v="0.1462872177362442"/>
    <s v="0.11512255668640137"/>
    <s v="0.6159057021141052"/>
    <x v="3"/>
  </r>
  <r>
    <s v="1_4_11_2026_GNPgrabacion_0.wav"/>
    <n v="30"/>
    <n v="25.391999999999999"/>
    <s v="84.63999999999999"/>
    <x v="2"/>
    <n v="0.166426882147789"/>
    <s v="0.12946179509162903"/>
    <n v="0.61432284116744995"/>
    <x v="3"/>
  </r>
  <r>
    <s v="1_4_11_2026_Vidanta_grabacion_0.wav"/>
    <n v="30"/>
    <n v="0.16"/>
    <s v="0.5333333333333333"/>
    <x v="3"/>
    <n v="0"/>
    <n v="0"/>
    <n v="0"/>
    <x v="4"/>
  </r>
  <r>
    <s v="1_4_11_2026_Vidanta_grabacion_1.wav"/>
    <n v="30"/>
    <n v="6.24"/>
    <n v="20.8"/>
    <x v="3"/>
    <s v="0.058661628514528275"/>
    <n v="5.7659940794110298E-3"/>
    <s v="0.023173987865447998"/>
    <x v="0"/>
  </r>
  <r>
    <s v="1_4_12_2026_BBVAgrabacion_0.wav"/>
    <n v="30"/>
    <n v="14.368"/>
    <s v="47.89333333333333"/>
    <x v="0"/>
    <s v="0.10433393716812134"/>
    <n v="4.0309075266122797E-2"/>
    <s v="0.20444652438163757"/>
    <x v="2"/>
  </r>
  <r>
    <s v="1_4_12_2026_GNPgrabacion_0.wav"/>
    <n v="30"/>
    <n v="25.391999999999999"/>
    <s v="84.63999999999999"/>
    <x v="2"/>
    <s v="0.16978415846824646"/>
    <s v="0.1301160603761673"/>
    <s v="0.6115109920501709"/>
    <x v="3"/>
  </r>
  <r>
    <s v="1_4_12_2026_Vidanta_grabacion_0.wav"/>
    <n v="30"/>
    <n v="7.0720000000000001"/>
    <s v="23.57333333333333"/>
    <x v="3"/>
    <n v="7.9618491232395103E-2"/>
    <n v="7.5845681130885995E-2"/>
    <s v="0.3451007008552551"/>
    <x v="2"/>
  </r>
  <r>
    <s v="1_4_13_2026_BBVAgrabacion_0.wav"/>
    <n v="30"/>
    <n v="14.48"/>
    <s v="48.266666666666666"/>
    <x v="4"/>
    <s v="0.10654422640800476"/>
    <n v="4.0873691439628601E-2"/>
    <s v="0.20168177783489227"/>
    <x v="2"/>
  </r>
  <r>
    <s v="1_4_13_2026_GNPgrabacion_0.wav"/>
    <n v="30"/>
    <n v="0"/>
    <n v="0"/>
    <x v="1"/>
    <n v="0"/>
    <n v="0"/>
    <n v="0"/>
    <x v="1"/>
  </r>
  <r>
    <s v="1_4_13_2026_Vidanta_grabacion_0.wav"/>
    <n v="30"/>
    <n v="6.4"/>
    <s v="21.333333333333336"/>
    <x v="3"/>
    <n v="6.6045552492141696E-2"/>
    <s v="0.033882301300764084"/>
    <s v="0.1680179238319397"/>
    <x v="2"/>
  </r>
  <r>
    <s v="1_4_14_2026_BBVAgrabacion_0.wav"/>
    <n v="30"/>
    <n v="13.984"/>
    <s v="46.61333333333334"/>
    <x v="0"/>
    <s v="0.10564420372247696"/>
    <n v="4.2079761624336201E-2"/>
    <s v="0.21386930346488953"/>
    <x v="2"/>
  </r>
  <r>
    <s v="1_4_14_2026_GNPgrabacion_0.wav"/>
    <n v="30"/>
    <n v="25.472000000000001"/>
    <s v="84.90666666666668"/>
    <x v="2"/>
    <s v="0.1677854061126709"/>
    <s v="0.1296704262495041"/>
    <s v="0.6182787418365479"/>
    <x v="3"/>
  </r>
  <r>
    <s v="1_4_14_2026_Vidanta_grabacion_0.wav"/>
    <n v="30"/>
    <n v="7.04"/>
    <s v="23.466666666666665"/>
    <x v="3"/>
    <n v="6.1364479362964602E-2"/>
    <s v="0.013755638152360916"/>
    <n v="6.7882187664508806E-2"/>
    <x v="0"/>
  </r>
  <r>
    <s v="1_4_15_2026_BBVAgrabacion_0.wav"/>
    <n v="30"/>
    <n v="14.544"/>
    <s v="48.480000000000004"/>
    <x v="4"/>
    <n v="0.105396568775177"/>
    <n v="4.0944736450910499E-2"/>
    <s v="0.2006867676973343"/>
    <x v="2"/>
  </r>
  <r>
    <s v="1_4_1_2026_GNPgrabacion_0.wav"/>
    <n v="30"/>
    <n v="25.36"/>
    <s v="84.53333333333333"/>
    <x v="2"/>
    <s v="0.15255022048950195"/>
    <s v="0.12004119157791138"/>
    <s v="0.6230358481407166"/>
    <x v="3"/>
  </r>
  <r>
    <s v="1_4_22_2026_Banamex_grabacion_0.wav"/>
    <n v="30"/>
    <n v="0"/>
    <n v="0"/>
    <x v="1"/>
    <n v="0"/>
    <n v="0"/>
    <n v="0"/>
    <x v="1"/>
  </r>
  <r>
    <s v="1_4_2_2026_GNPgrabacion_0.wav"/>
    <n v="30"/>
    <n v="25.423999999999999"/>
    <s v="84.74666666666667"/>
    <x v="2"/>
    <s v="0.14802038669586182"/>
    <s v="0.11673524230718613"/>
    <s v="0.6158221364021301"/>
    <x v="3"/>
  </r>
  <r>
    <s v="1_4_3_2026_GNPgrabacion_0.wav"/>
    <n v="30"/>
    <n v="0"/>
    <n v="0"/>
    <x v="1"/>
    <n v="0"/>
    <n v="0"/>
    <n v="0"/>
    <x v="1"/>
  </r>
  <r>
    <s v="1_4_3_2026_GNPgrabacion_1.wav"/>
    <n v="30"/>
    <n v="24.8"/>
    <s v="82.66666666666667"/>
    <x v="2"/>
    <s v="0.15635454654693604"/>
    <s v="0.12100066989660263"/>
    <s v="0.6217654347419739"/>
    <x v="3"/>
  </r>
  <r>
    <s v="1_4_4_2026_GNPgrabacion_0.wav"/>
    <n v="30"/>
    <n v="25.135999999999999"/>
    <s v="83.78666666666666"/>
    <x v="2"/>
    <s v="0.15930293500423431"/>
    <s v="0.12405356019735336"/>
    <s v="0.6379881501197815"/>
    <x v="3"/>
  </r>
  <r>
    <s v="1_4_5_2026_GNPgrabacion_0.wav"/>
    <n v="30"/>
    <n v="24.832000000000001"/>
    <s v="82.77333333333333"/>
    <x v="2"/>
    <n v="0.15615314245223999"/>
    <s v="0.12173084169626236"/>
    <n v="0.61503136157989502"/>
    <x v="3"/>
  </r>
  <r>
    <s v="1_4_6_2026_GNPgrabacion_0.wav"/>
    <n v="30"/>
    <n v="24.751999999999999"/>
    <s v="82.50666666666666"/>
    <x v="2"/>
    <s v="0.15703077614307404"/>
    <s v="0.12130050361156464"/>
    <s v="0.6213380694389343"/>
    <x v="3"/>
  </r>
  <r>
    <s v="1_4_7_2026_GNPgrabacion_0.wav"/>
    <n v="30"/>
    <n v="25.103999999999999"/>
    <s v="83.67999999999999"/>
    <x v="2"/>
    <s v="0.16083960235118866"/>
    <s v="0.12519221007823944"/>
    <s v="0.6314231753349304"/>
    <x v="3"/>
  </r>
  <r>
    <s v="1_4_8_2026_GNPgrabacion_0.wav"/>
    <n v="30"/>
    <n v="25.423999999999999"/>
    <s v="84.74666666666667"/>
    <x v="2"/>
    <s v="0.16710425913333893"/>
    <s v="0.12965822219848633"/>
    <s v="0.6335423588752747"/>
    <x v="3"/>
  </r>
  <r>
    <s v="1_4_9_2026_GNPgrabacion_0.wav"/>
    <n v="30"/>
    <n v="25.408000000000001"/>
    <s v="84.69333333333334"/>
    <x v="2"/>
    <s v="0.16721725463867188"/>
    <s v="0.13002829253673553"/>
    <n v="0.63538473844528198"/>
    <x v="3"/>
  </r>
  <r>
    <s v="20_4_23_2026_BBVAgrabacion_0.wav"/>
    <n v="30"/>
    <n v="0"/>
    <n v="0"/>
    <x v="1"/>
    <n v="0"/>
    <n v="0"/>
    <n v="0"/>
    <x v="1"/>
  </r>
  <r>
    <s v="22_4_23_2026_BBVAgrabacion_0.wav"/>
    <n v="30"/>
    <n v="0"/>
    <n v="0"/>
    <x v="1"/>
    <n v="0"/>
    <n v="0"/>
    <n v="0"/>
    <x v="1"/>
  </r>
  <r>
    <s v="22_4_23_2026_BBVAgrabacion_1.wav"/>
    <n v="30"/>
    <n v="0"/>
    <n v="0"/>
    <x v="1"/>
    <n v="0"/>
    <n v="0"/>
    <n v="0"/>
    <x v="1"/>
  </r>
  <r>
    <s v="2_11_28_2024_BBVAgrabacion3.wav"/>
    <n v="45"/>
    <n v="39.911999999999999"/>
    <s v="88.69333333333333"/>
    <x v="5"/>
    <s v="0.22726823389530182"/>
    <n v="9.0538874268531799E-2"/>
    <n v="0.58201426267623901"/>
    <x v="3"/>
  </r>
  <r>
    <s v="2_11_29_2024_BBVAgrabacion3.wav"/>
    <n v="45"/>
    <n v="42.247999999999998"/>
    <s v="93.88444444444444"/>
    <x v="5"/>
    <s v="0.21901822090148926"/>
    <n v="7.5462333858013098E-2"/>
    <s v="0.4343702793121338"/>
    <x v="2"/>
  </r>
  <r>
    <s v="2_11_30_2024_BBVAgrabacion3.wav"/>
    <n v="45"/>
    <n v="36.136000000000003"/>
    <s v="80.30222222222223"/>
    <x v="0"/>
    <s v="0.23700638115406036"/>
    <n v="9.4447225332260104E-2"/>
    <s v="0.5624297857284546"/>
    <x v="3"/>
  </r>
  <r>
    <s v="2_12_2_2024_BBVAgrabacion3.wav"/>
    <n v="45"/>
    <n v="36.423999999999999"/>
    <s v="80.94222222222223"/>
    <x v="0"/>
    <s v="0.23600666224956512"/>
    <n v="9.3681238591670907E-2"/>
    <s v="0.5739837288856506"/>
    <x v="3"/>
  </r>
  <r>
    <s v="2_12_3_2024_CNOCgrabacion3.wav"/>
    <n v="45"/>
    <n v="26.815999999999999"/>
    <s v="59.591111111111104"/>
    <x v="4"/>
    <s v="0.19972217082977295"/>
    <s v="0.054343629628419876"/>
    <s v="0.2611369490623474"/>
    <x v="2"/>
  </r>
  <r>
    <s v="2_3_28_2026_GNPgrabacion_0.wav"/>
    <n v="30"/>
    <n v="25.36"/>
    <s v="84.53333333333333"/>
    <x v="2"/>
    <s v="0.15149562060832977"/>
    <s v="0.11899314075708389"/>
    <s v="0.6284712553024292"/>
    <x v="3"/>
  </r>
  <r>
    <s v="2_3_29_2026_GNPgrabacion_0.wav"/>
    <n v="30"/>
    <n v="25.456"/>
    <s v="84.85333333333334"/>
    <x v="2"/>
    <s v="0.15625359117984772"/>
    <s v="0.12054158002138138"/>
    <s v="0.6298550367355347"/>
    <x v="3"/>
  </r>
  <r>
    <s v="2_3_30_2026_GNPgrabacion_0.wav"/>
    <n v="30"/>
    <n v="25.456"/>
    <s v="84.85333333333334"/>
    <x v="2"/>
    <s v="0.1506270319223404"/>
    <s v="0.11761506646871567"/>
    <s v="0.6204313635826111"/>
    <x v="3"/>
  </r>
  <r>
    <s v="2_3_31_2026_GNPgrabacion_0.wav"/>
    <n v="30"/>
    <n v="25.344000000000001"/>
    <n v="84.48"/>
    <x v="2"/>
    <s v="0.15523234009742737"/>
    <s v="0.11987023800611496"/>
    <s v="0.6121717095375061"/>
    <x v="3"/>
  </r>
  <r>
    <s v="2_4_13_2026_BBVAgrabacion_0.wav"/>
    <n v="30"/>
    <n v="14.448"/>
    <s v="48.160000000000004"/>
    <x v="4"/>
    <s v="0.10695216059684753"/>
    <n v="4.01457734405994E-2"/>
    <s v="0.21069639921188354"/>
    <x v="2"/>
  </r>
  <r>
    <s v="2_4_13_2026_Vidanta_grabacion_0.wav"/>
    <n v="30"/>
    <n v="5.8879999999999999"/>
    <s v="19.62666666666667"/>
    <x v="3"/>
    <n v="0"/>
    <n v="0"/>
    <n v="0"/>
    <x v="2"/>
  </r>
  <r>
    <s v="2_4_14_2026_BBVAgrabacion_0.wav"/>
    <n v="30"/>
    <n v="14.96"/>
    <s v="49.86666666666667"/>
    <x v="0"/>
    <s v="0.10615171492099762"/>
    <n v="4.0931649506092002E-2"/>
    <s v="0.20317316055297852"/>
    <x v="2"/>
  </r>
  <r>
    <s v="2_4_15_2026_BBVAgrabacion_0.wav"/>
    <n v="30"/>
    <n v="0"/>
    <n v="0"/>
    <x v="1"/>
    <n v="0"/>
    <n v="0"/>
    <n v="0"/>
    <x v="1"/>
  </r>
  <r>
    <s v="2_4_15_2026_BBVAgrabacion_1.wav"/>
    <n v="30"/>
    <n v="0"/>
    <n v="0"/>
    <x v="1"/>
    <n v="0"/>
    <n v="0"/>
    <n v="0"/>
    <x v="1"/>
  </r>
  <r>
    <s v="2_4_1_2026_GNPgrabacion_0.wav"/>
    <n v="30"/>
    <n v="25.456"/>
    <s v="84.85333333333334"/>
    <x v="2"/>
    <s v="0.15167658030986786"/>
    <s v="0.11890630424022675"/>
    <s v="0.6150656938552856"/>
    <x v="3"/>
  </r>
  <r>
    <s v="2_4_21_2026_Banamex_grabacion_0.wav"/>
    <n v="30"/>
    <n v="0"/>
    <n v="0"/>
    <x v="1"/>
    <n v="0"/>
    <n v="0"/>
    <n v="0"/>
    <x v="1"/>
  </r>
  <r>
    <s v="2_4_22_2026_BBVAgrabacion_0.wav"/>
    <n v="30"/>
    <n v="0"/>
    <n v="0"/>
    <x v="1"/>
    <n v="0"/>
    <n v="0"/>
    <n v="0"/>
    <x v="1"/>
  </r>
  <r>
    <s v="2_4_2_2026_GNPgrabacion_0.wav"/>
    <n v="30"/>
    <n v="25.456"/>
    <s v="84.85333333333334"/>
    <x v="2"/>
    <s v="0.15328331291675568"/>
    <s v="0.11927751451730728"/>
    <s v="0.6291910409927368"/>
    <x v="3"/>
  </r>
  <r>
    <s v="2_4_3_2026_GNPgrabacion_0.wav"/>
    <n v="30"/>
    <n v="25.231999999999999"/>
    <s v="84.10666666666667"/>
    <x v="2"/>
    <s v="0.1609983891248703"/>
    <s v="0.12463604658842087"/>
    <s v="0.6227063536643982"/>
    <x v="3"/>
  </r>
  <r>
    <s v="2_4_4_2026_GNPgrabacion_0.wav"/>
    <n v="30"/>
    <n v="25.488"/>
    <s v="84.96000000000001"/>
    <x v="2"/>
    <s v="0.1594351977109909"/>
    <s v="0.12305222451686859"/>
    <s v="0.6218953132629395"/>
    <x v="3"/>
  </r>
  <r>
    <s v="2_4_5_2026_GNPgrabacion_0.wav"/>
    <n v="30"/>
    <n v="25.472000000000001"/>
    <s v="84.90666666666668"/>
    <x v="2"/>
    <s v="0.15727153420448303"/>
    <s v="0.12162341177463531"/>
    <s v="0.6180087924003601"/>
    <x v="3"/>
  </r>
  <r>
    <s v="31_4_23_2026_BBVAgrabacion_0.wav"/>
    <n v="30"/>
    <n v="0.16"/>
    <s v="0.5333333333333333"/>
    <x v="3"/>
    <n v="0"/>
    <n v="0"/>
    <n v="0"/>
    <x v="4"/>
  </r>
  <r>
    <s v="33_4_21_2026_BBVAgrabacion_0.wav"/>
    <n v="30"/>
    <n v="0.16"/>
    <s v="0.5333333333333333"/>
    <x v="3"/>
    <n v="0"/>
    <n v="0"/>
    <n v="0"/>
    <x v="4"/>
  </r>
  <r>
    <s v="35_4_21_2026_BBVAgrabacion_0.wav"/>
    <n v="30"/>
    <n v="0"/>
    <n v="0"/>
    <x v="1"/>
    <n v="0"/>
    <n v="0"/>
    <n v="0"/>
    <x v="1"/>
  </r>
  <r>
    <s v="35_4_22_2026_BBVAgrabacion_0.wav"/>
    <n v="30"/>
    <n v="0"/>
    <n v="0"/>
    <x v="1"/>
    <n v="0"/>
    <n v="0"/>
    <n v="0"/>
    <x v="1"/>
  </r>
  <r>
    <s v="36_4_23_2026_BBVAgrabacion_0.wav"/>
    <n v="30"/>
    <n v="0.16"/>
    <s v="0.5333333333333333"/>
    <x v="3"/>
    <n v="0"/>
    <n v="0"/>
    <n v="0"/>
    <x v="4"/>
  </r>
  <r>
    <s v="37_4_23_2026_BBVAgrabacion_0.wav"/>
    <n v="30"/>
    <n v="0.16"/>
    <s v="0.5333333333333333"/>
    <x v="3"/>
    <n v="0"/>
    <n v="0"/>
    <n v="0"/>
    <x v="4"/>
  </r>
  <r>
    <s v="38_4_22_2026_BBVAgrabacion_0.wav"/>
    <n v="30"/>
    <n v="0.16"/>
    <s v="0.5333333333333333"/>
    <x v="3"/>
    <n v="0"/>
    <n v="0"/>
    <n v="0"/>
    <x v="4"/>
  </r>
  <r>
    <s v="39_4_23_2026_BBVAgrabacion_0.wav"/>
    <n v="30"/>
    <n v="0.16"/>
    <s v="0.5333333333333333"/>
    <x v="3"/>
    <n v="0"/>
    <n v="0"/>
    <n v="0"/>
    <x v="4"/>
  </r>
  <r>
    <s v="3_4_18_2026_Banamex_grabacion_0.wav"/>
    <n v="30"/>
    <n v="0.16"/>
    <s v="0.5333333333333333"/>
    <x v="3"/>
    <n v="0"/>
    <n v="0"/>
    <n v="0"/>
    <x v="4"/>
  </r>
  <r>
    <s v="3_4_21_2026_Banamex_grabacion_0.wav"/>
    <n v="30"/>
    <n v="0.16"/>
    <s v="0.5333333333333333"/>
    <x v="3"/>
    <n v="0"/>
    <n v="0"/>
    <n v="0"/>
    <x v="4"/>
  </r>
  <r>
    <s v="3_4_22_2026_BBVAgrabacion_0.wav"/>
    <n v="30"/>
    <n v="0"/>
    <n v="0"/>
    <x v="1"/>
    <n v="0"/>
    <n v="0"/>
    <n v="0"/>
    <x v="1"/>
  </r>
  <r>
    <s v="3_4_23_2026_BBVAgrabacion_0.wav"/>
    <n v="30"/>
    <n v="0"/>
    <n v="0"/>
    <x v="1"/>
    <n v="0"/>
    <n v="0"/>
    <n v="0"/>
    <x v="1"/>
  </r>
  <r>
    <s v="3_4_24_2026_Banamex_grabacion_0.wav"/>
    <n v="30"/>
    <n v="0.16"/>
    <s v="0.5333333333333333"/>
    <x v="3"/>
    <n v="0"/>
    <n v="0"/>
    <n v="0"/>
    <x v="4"/>
  </r>
  <r>
    <s v="40_4_23_2026_BBVAgrabacion_0.wav"/>
    <n v="30"/>
    <n v="0.16"/>
    <s v="0.5333333333333333"/>
    <x v="3"/>
    <n v="0"/>
    <n v="0"/>
    <n v="0"/>
    <x v="4"/>
  </r>
  <r>
    <s v="45_2_13_2025_GNPgrabacion3.wav"/>
    <n v="45"/>
    <n v="38.688000000000002"/>
    <s v="85.97333333333333"/>
    <x v="3"/>
    <s v="0.11441191285848618"/>
    <n v="2.8106586541980501E-3"/>
    <n v="4.68257665634155E-2"/>
    <x v="0"/>
  </r>
  <r>
    <s v="48_4_21_2026_BBVAgrabacion_0.wav"/>
    <n v="30"/>
    <n v="0"/>
    <n v="0"/>
    <x v="1"/>
    <n v="0"/>
    <n v="0"/>
    <n v="0"/>
    <x v="1"/>
  </r>
  <r>
    <s v="48_4_22_2026_BBVAgrabacion_0.wav"/>
    <n v="30"/>
    <n v="0.16"/>
    <s v="0.5333333333333333"/>
    <x v="3"/>
    <n v="0"/>
    <n v="0"/>
    <n v="0"/>
    <x v="4"/>
  </r>
  <r>
    <s v="4_4_22_2026_BBVAgrabacion_0.wav"/>
    <n v="30"/>
    <n v="0"/>
    <n v="0"/>
    <x v="1"/>
    <n v="0"/>
    <n v="0"/>
    <n v="0"/>
    <x v="1"/>
  </r>
  <r>
    <s v="55_4_21_2026_BBVAgrabacion_0.wav"/>
    <n v="30"/>
    <n v="0"/>
    <n v="0"/>
    <x v="1"/>
    <n v="0"/>
    <n v="0"/>
    <n v="0"/>
    <x v="1"/>
  </r>
  <r>
    <s v="57_4_21_2026_BBVAgrabacion_0.wav"/>
    <n v="30"/>
    <n v="0"/>
    <n v="0"/>
    <x v="1"/>
    <n v="0"/>
    <n v="0"/>
    <n v="0"/>
    <x v="1"/>
  </r>
  <r>
    <s v="57_4_21_2026_BBVAgrabacion_1.wav"/>
    <n v="30"/>
    <n v="0"/>
    <n v="0"/>
    <x v="1"/>
    <n v="0"/>
    <n v="0"/>
    <n v="0"/>
    <x v="1"/>
  </r>
  <r>
    <s v="6_4_18_2026_Banamex_grabacion_0.wav"/>
    <n v="30"/>
    <n v="0.128"/>
    <s v="0.4266666666666667"/>
    <x v="3"/>
    <n v="0"/>
    <n v="0"/>
    <n v="0"/>
    <x v="4"/>
  </r>
  <r>
    <s v="6_4_18_2026_Banamex_grabacion_1.wav"/>
    <n v="30"/>
    <n v="0"/>
    <n v="0"/>
    <x v="1"/>
    <n v="0"/>
    <n v="0"/>
    <n v="0"/>
    <x v="1"/>
  </r>
  <r>
    <s v="7_4_18_2026_Banamex_grabacion_0.wav"/>
    <n v="30"/>
    <n v="0"/>
    <n v="0"/>
    <x v="1"/>
    <n v="0"/>
    <n v="0"/>
    <n v="0"/>
    <x v="1"/>
  </r>
  <r>
    <s v="7_4_20_2026_Banamex_grabacion_0.wav"/>
    <n v="30"/>
    <n v="0.16"/>
    <s v="0.5333333333333333"/>
    <x v="3"/>
    <n v="0"/>
    <n v="0"/>
    <n v="0"/>
    <x v="4"/>
  </r>
  <r>
    <s v="7_4_23_2026_BBVAgrabacion_0.wav"/>
    <n v="30"/>
    <n v="0"/>
    <n v="0"/>
    <x v="1"/>
    <n v="0"/>
    <n v="0"/>
    <n v="0"/>
    <x v="1"/>
  </r>
  <r>
    <s v="8_4_21_2026_Banamex_grabacion_0.wav"/>
    <n v="30"/>
    <n v="0"/>
    <n v="0"/>
    <x v="1"/>
    <n v="0"/>
    <n v="0"/>
    <n v="0"/>
    <x v="1"/>
  </r>
  <r>
    <s v="8_4_22_2026_BBVAgrabacion_0.wav"/>
    <n v="30"/>
    <n v="0.16"/>
    <s v="0.5333333333333333"/>
    <x v="3"/>
    <n v="0"/>
    <n v="0"/>
    <n v="0"/>
    <x v="4"/>
  </r>
  <r>
    <s v="8_4_23_2026_BBVAgrabacion_0.wav"/>
    <n v="30"/>
    <n v="0"/>
    <n v="0"/>
    <x v="1"/>
    <n v="0"/>
    <n v="0"/>
    <n v="0"/>
    <x v="1"/>
  </r>
  <r>
    <s v="99_12_18_2024_CNOCgrabacion3_d.wav"/>
    <n v="45"/>
    <n v="27.72"/>
    <n v="61.6"/>
    <x v="4"/>
    <s v="0.15192466974258423"/>
    <n v="6.6722124814987099E-2"/>
    <s v="0.2661348283290863"/>
    <x v="2"/>
  </r>
  <r>
    <s v="9_4_19_2026_Banamex_grabacion_0.wav"/>
    <n v="30"/>
    <n v="0"/>
    <n v="0"/>
    <x v="1"/>
    <n v="0"/>
    <n v="0"/>
    <n v="0"/>
    <x v="1"/>
  </r>
  <r>
    <s v="9_4_20_2026_Banamex_grabacion_0.wav"/>
    <n v="30"/>
    <n v="0"/>
    <n v="0"/>
    <x v="1"/>
    <n v="0"/>
    <n v="0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DFBBDD-550D-4B31-951F-8EFD4451C263}" name="PivotCruzado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22:G30" firstHeaderRow="1" firstDataRow="2" firstDataCol="1"/>
  <pivotFields count="9">
    <pivotField dataField="1" showAll="0"/>
    <pivotField showAll="0"/>
    <pivotField showAll="0"/>
    <pivotField showAll="0"/>
    <pivotField axis="axisRow" showAll="0">
      <items count="7">
        <item x="1"/>
        <item x="3"/>
        <item x="5"/>
        <item x="0"/>
        <item x="4"/>
        <item x="2"/>
        <item t="default"/>
      </items>
    </pivotField>
    <pivotField showAll="0"/>
    <pivotField showAll="0"/>
    <pivotField showAll="0"/>
    <pivotField axis="axisCol" showAll="0">
      <items count="6">
        <item x="2"/>
        <item x="0"/>
        <item x="1"/>
        <item x="3"/>
        <item x="4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nteo" fld="0" subtotal="count" baseField="0" baseItem="0"/>
  </dataFields>
  <chartFormats count="1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E1CB53-B41B-4C18-92F4-CCA64A003E32}" name="PivotFrases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2:C19" firstHeaderRow="0" firstDataRow="1" firstDataCol="1"/>
  <pivotFields count="9">
    <pivotField dataField="1" showAll="0"/>
    <pivotField showAll="0"/>
    <pivotField showAll="0"/>
    <pivotField showAll="0"/>
    <pivotField axis="axisRow" showAll="0">
      <items count="7">
        <item x="1"/>
        <item x="3"/>
        <item x="5"/>
        <item x="0"/>
        <item x="4"/>
        <item x="2"/>
        <item t="default"/>
      </items>
    </pivotField>
    <pivotField dataField="1"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antidad" fld="0" subtotal="count" baseField="0" baseItem="0"/>
    <dataField name="RMS Promedio" fld="5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0FE4F8-3532-45E4-BFFA-3C89C4CCB3E6}" name="PivotClase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:E9" firstHeaderRow="0" firstDataRow="1" firstDataCol="1"/>
  <pivotFields count="9"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axis="axisRow" showAll="0">
      <items count="6">
        <item x="2"/>
        <item x="0"/>
        <item x="1"/>
        <item x="3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 de Archivos" fld="0" subtotal="count" baseField="0" baseItem="0"/>
    <dataField name="Duración Total (seg)" fld="1" baseField="0" baseItem="0" numFmtId="3"/>
    <dataField name="Promedio Audio Útil" fld="2" subtotal="average" baseField="0" baseItem="0" numFmtId="4"/>
    <dataField name="Promedio % Audio" fld="3" subtotal="average" baseField="0" baseItem="0" numFmtId="164"/>
  </dataFields>
  <formats count="3">
    <format dxfId="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ABD33F-53D7-437A-872D-0E14E2183C70}" name="TablaAudio" displayName="TablaAudio" ref="A1:I110" totalsRowShown="0">
  <autoFilter ref="A1:I110" xr:uid="{16ABD33F-53D7-437A-872D-0E14E2183C70}"/>
  <tableColumns count="9">
    <tableColumn id="1" xr3:uid="{5F848E48-8941-4EC7-B1F4-88D22208A890}" name="archivo"/>
    <tableColumn id="2" xr3:uid="{6D03447D-0558-4887-B37F-195A101E4C38}" name="duracion_total"/>
    <tableColumn id="3" xr3:uid="{3EE0A3B4-DD3F-4A71-9848-381B3EC4B145}" name="audio_util"/>
    <tableColumn id="4" xr3:uid="{DAE5225B-6401-4675-AACE-6AC0E96A4FFF}" name="porcentaje_audio"/>
    <tableColumn id="5" xr3:uid="{4D59CDF6-561F-434C-BDEE-79E1FBD6D69E}" name="num_frases"/>
    <tableColumn id="6" xr3:uid="{361658C6-AEB2-4798-ABF6-7EF5548B337F}" name="rms_mean"/>
    <tableColumn id="7" xr3:uid="{B1151650-42F0-4E8E-9B8B-24615CB43175}" name="rms_std"/>
    <tableColumn id="8" xr3:uid="{1E1160C6-73A6-46C4-9B0C-6E530B4244B0}" name="rango_dinamico"/>
    <tableColumn id="9" xr3:uid="{BC08DD10-4DFE-4D9C-9CCF-C972B7034DC3}" name="cla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9408A-FF6F-4500-A7C4-8CA2F6D1E37E}">
  <dimension ref="A1:I110"/>
  <sheetViews>
    <sheetView workbookViewId="0"/>
  </sheetViews>
  <sheetFormatPr baseColWidth="10" defaultRowHeight="14.4" x14ac:dyDescent="0.3"/>
  <cols>
    <col min="2" max="2" width="14.88671875" customWidth="1"/>
    <col min="4" max="4" width="17.33203125" customWidth="1"/>
    <col min="5" max="5" width="12.33203125" customWidth="1"/>
    <col min="8" max="8" width="16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45</v>
      </c>
      <c r="C2">
        <v>15.872</v>
      </c>
      <c r="D2" s="1" t="s">
        <v>10</v>
      </c>
      <c r="E2">
        <v>4</v>
      </c>
      <c r="F2">
        <v>7.26495906710624E-2</v>
      </c>
      <c r="G2" s="1" t="s">
        <v>11</v>
      </c>
      <c r="H2">
        <v>7.2515547275543199E-2</v>
      </c>
      <c r="I2" t="s">
        <v>12</v>
      </c>
    </row>
    <row r="3" spans="1:9" x14ac:dyDescent="0.3">
      <c r="A3" t="s">
        <v>13</v>
      </c>
      <c r="B3">
        <v>30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t="s">
        <v>14</v>
      </c>
    </row>
    <row r="4" spans="1:9" x14ac:dyDescent="0.3">
      <c r="A4" t="s">
        <v>15</v>
      </c>
      <c r="B4">
        <v>30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t="s">
        <v>14</v>
      </c>
    </row>
    <row r="5" spans="1:9" x14ac:dyDescent="0.3">
      <c r="A5" t="s">
        <v>16</v>
      </c>
      <c r="B5">
        <v>30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">
        <v>14</v>
      </c>
    </row>
    <row r="6" spans="1:9" x14ac:dyDescent="0.3">
      <c r="A6" t="s">
        <v>17</v>
      </c>
      <c r="B6">
        <v>30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t="s">
        <v>14</v>
      </c>
    </row>
    <row r="7" spans="1:9" x14ac:dyDescent="0.3">
      <c r="A7" t="s">
        <v>18</v>
      </c>
      <c r="B7">
        <v>30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 t="s">
        <v>14</v>
      </c>
    </row>
    <row r="8" spans="1:9" x14ac:dyDescent="0.3">
      <c r="A8" t="s">
        <v>19</v>
      </c>
      <c r="B8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t="s">
        <v>14</v>
      </c>
    </row>
    <row r="9" spans="1:9" x14ac:dyDescent="0.3">
      <c r="A9" t="s">
        <v>20</v>
      </c>
      <c r="B9">
        <v>45</v>
      </c>
      <c r="C9">
        <v>27.135999999999999</v>
      </c>
      <c r="D9" s="1" t="s">
        <v>21</v>
      </c>
      <c r="E9">
        <v>6</v>
      </c>
      <c r="F9">
        <v>0.12240020185709</v>
      </c>
      <c r="G9">
        <v>5.8892797678709002E-2</v>
      </c>
      <c r="H9" s="1" t="s">
        <v>22</v>
      </c>
      <c r="I9" t="s">
        <v>23</v>
      </c>
    </row>
    <row r="10" spans="1:9" x14ac:dyDescent="0.3">
      <c r="A10" t="s">
        <v>24</v>
      </c>
      <c r="B10">
        <v>30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 t="s">
        <v>14</v>
      </c>
    </row>
    <row r="11" spans="1:9" x14ac:dyDescent="0.3">
      <c r="A11" t="s">
        <v>25</v>
      </c>
      <c r="B11">
        <v>30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 t="s">
        <v>14</v>
      </c>
    </row>
    <row r="12" spans="1:9" x14ac:dyDescent="0.3">
      <c r="A12" t="s">
        <v>26</v>
      </c>
      <c r="B12">
        <v>45</v>
      </c>
      <c r="C12">
        <v>26.207999999999998</v>
      </c>
      <c r="D12" s="1" t="s">
        <v>27</v>
      </c>
      <c r="E12">
        <v>6</v>
      </c>
      <c r="F12" s="1" t="s">
        <v>28</v>
      </c>
      <c r="G12">
        <v>6.5348029136657701E-2</v>
      </c>
      <c r="H12" s="1" t="s">
        <v>29</v>
      </c>
      <c r="I12" t="s">
        <v>23</v>
      </c>
    </row>
    <row r="13" spans="1:9" x14ac:dyDescent="0.3">
      <c r="A13" t="s">
        <v>30</v>
      </c>
      <c r="B13">
        <v>30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t="s">
        <v>14</v>
      </c>
    </row>
    <row r="14" spans="1:9" x14ac:dyDescent="0.3">
      <c r="A14" t="s">
        <v>31</v>
      </c>
      <c r="B14">
        <v>45</v>
      </c>
      <c r="C14">
        <v>11.84</v>
      </c>
      <c r="D14" s="1" t="s">
        <v>32</v>
      </c>
      <c r="E14">
        <v>1</v>
      </c>
      <c r="F14" s="1" t="s">
        <v>33</v>
      </c>
      <c r="G14" s="1" t="s">
        <v>34</v>
      </c>
      <c r="H14" s="1" t="s">
        <v>35</v>
      </c>
      <c r="I14" t="s">
        <v>36</v>
      </c>
    </row>
    <row r="15" spans="1:9" x14ac:dyDescent="0.3">
      <c r="A15" t="s">
        <v>37</v>
      </c>
      <c r="B15">
        <v>45</v>
      </c>
      <c r="C15">
        <v>27.103999999999999</v>
      </c>
      <c r="D15" s="1" t="s">
        <v>38</v>
      </c>
      <c r="E15">
        <v>5</v>
      </c>
      <c r="F15" s="1" t="s">
        <v>39</v>
      </c>
      <c r="G15">
        <v>5.7873051613569197E-2</v>
      </c>
      <c r="H15" s="1" t="s">
        <v>40</v>
      </c>
      <c r="I15" t="s">
        <v>23</v>
      </c>
    </row>
    <row r="16" spans="1:9" x14ac:dyDescent="0.3">
      <c r="A16" t="s">
        <v>41</v>
      </c>
      <c r="B16">
        <v>45</v>
      </c>
      <c r="C16">
        <v>17.984000000000002</v>
      </c>
      <c r="D16" s="1" t="s">
        <v>42</v>
      </c>
      <c r="E16">
        <v>5</v>
      </c>
      <c r="F16" s="1" t="s">
        <v>43</v>
      </c>
      <c r="G16" s="1" t="s">
        <v>44</v>
      </c>
      <c r="H16" s="1" t="s">
        <v>45</v>
      </c>
      <c r="I16" t="s">
        <v>36</v>
      </c>
    </row>
    <row r="17" spans="1:9" x14ac:dyDescent="0.3">
      <c r="A17" t="s">
        <v>46</v>
      </c>
      <c r="B17">
        <v>30</v>
      </c>
      <c r="C17">
        <v>5.6959999999999997</v>
      </c>
      <c r="D17" s="1" t="s">
        <v>47</v>
      </c>
      <c r="E17">
        <v>1</v>
      </c>
      <c r="F17">
        <v>0</v>
      </c>
      <c r="G17">
        <v>0</v>
      </c>
      <c r="H17">
        <v>0</v>
      </c>
      <c r="I17" t="s">
        <v>23</v>
      </c>
    </row>
    <row r="18" spans="1:9" x14ac:dyDescent="0.3">
      <c r="A18" t="s">
        <v>48</v>
      </c>
      <c r="B18">
        <v>30</v>
      </c>
      <c r="C18">
        <v>6.1760000000000002</v>
      </c>
      <c r="D18" s="1" t="s">
        <v>49</v>
      </c>
      <c r="E18">
        <v>1</v>
      </c>
      <c r="F18">
        <v>7.6909713447093894E-2</v>
      </c>
      <c r="G18">
        <v>6.6921211779117501E-2</v>
      </c>
      <c r="H18" s="1" t="s">
        <v>50</v>
      </c>
      <c r="I18" t="s">
        <v>23</v>
      </c>
    </row>
    <row r="19" spans="1:9" x14ac:dyDescent="0.3">
      <c r="A19" t="s">
        <v>51</v>
      </c>
      <c r="B19">
        <v>30</v>
      </c>
      <c r="C19">
        <v>25.423999999999999</v>
      </c>
      <c r="D19" s="1" t="s">
        <v>52</v>
      </c>
      <c r="E19">
        <v>6</v>
      </c>
      <c r="F19" s="1" t="s">
        <v>53</v>
      </c>
      <c r="G19" s="1" t="s">
        <v>54</v>
      </c>
      <c r="H19" s="1" t="s">
        <v>55</v>
      </c>
      <c r="I19" t="s">
        <v>36</v>
      </c>
    </row>
    <row r="20" spans="1:9" x14ac:dyDescent="0.3">
      <c r="A20" t="s">
        <v>56</v>
      </c>
      <c r="B20">
        <v>30</v>
      </c>
      <c r="C20">
        <v>25.456</v>
      </c>
      <c r="D20" s="1" t="s">
        <v>57</v>
      </c>
      <c r="E20">
        <v>6</v>
      </c>
      <c r="F20" s="1" t="s">
        <v>58</v>
      </c>
      <c r="G20" s="1" t="s">
        <v>59</v>
      </c>
      <c r="H20" s="1" t="s">
        <v>60</v>
      </c>
      <c r="I20" t="s">
        <v>36</v>
      </c>
    </row>
    <row r="21" spans="1:9" x14ac:dyDescent="0.3">
      <c r="A21" t="s">
        <v>61</v>
      </c>
      <c r="B21">
        <v>30</v>
      </c>
      <c r="C21">
        <v>25.488</v>
      </c>
      <c r="D21" s="1" t="s">
        <v>62</v>
      </c>
      <c r="E21">
        <v>6</v>
      </c>
      <c r="F21" s="1" t="s">
        <v>63</v>
      </c>
      <c r="G21" s="1" t="s">
        <v>64</v>
      </c>
      <c r="H21" s="1" t="s">
        <v>65</v>
      </c>
      <c r="I21" t="s">
        <v>36</v>
      </c>
    </row>
    <row r="22" spans="1:9" x14ac:dyDescent="0.3">
      <c r="A22" t="s">
        <v>66</v>
      </c>
      <c r="B22">
        <v>30</v>
      </c>
      <c r="C22">
        <v>25.488</v>
      </c>
      <c r="D22" s="1" t="s">
        <v>62</v>
      </c>
      <c r="E22">
        <v>6</v>
      </c>
      <c r="F22" s="1" t="s">
        <v>67</v>
      </c>
      <c r="G22" s="1" t="s">
        <v>68</v>
      </c>
      <c r="H22" s="1" t="s">
        <v>69</v>
      </c>
      <c r="I22" t="s">
        <v>36</v>
      </c>
    </row>
    <row r="23" spans="1:9" x14ac:dyDescent="0.3">
      <c r="A23" t="s">
        <v>70</v>
      </c>
      <c r="B23">
        <v>30</v>
      </c>
      <c r="C23">
        <v>25.135999999999999</v>
      </c>
      <c r="D23" s="1" t="s">
        <v>71</v>
      </c>
      <c r="E23">
        <v>6</v>
      </c>
      <c r="F23" s="1" t="s">
        <v>72</v>
      </c>
      <c r="G23" s="1" t="s">
        <v>73</v>
      </c>
      <c r="H23" s="1" t="s">
        <v>74</v>
      </c>
      <c r="I23" t="s">
        <v>36</v>
      </c>
    </row>
    <row r="24" spans="1:9" x14ac:dyDescent="0.3">
      <c r="A24" t="s">
        <v>75</v>
      </c>
      <c r="B24">
        <v>30</v>
      </c>
      <c r="C24">
        <v>25.52</v>
      </c>
      <c r="D24" s="1" t="s">
        <v>76</v>
      </c>
      <c r="E24">
        <v>6</v>
      </c>
      <c r="F24" s="1" t="s">
        <v>77</v>
      </c>
      <c r="G24" s="1" t="s">
        <v>78</v>
      </c>
      <c r="H24" s="1" t="s">
        <v>79</v>
      </c>
      <c r="I24" t="s">
        <v>36</v>
      </c>
    </row>
    <row r="25" spans="1:9" x14ac:dyDescent="0.3">
      <c r="A25" t="s">
        <v>80</v>
      </c>
      <c r="B25">
        <v>30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 t="s">
        <v>14</v>
      </c>
    </row>
    <row r="26" spans="1:9" x14ac:dyDescent="0.3">
      <c r="A26" t="s">
        <v>81</v>
      </c>
      <c r="B26">
        <v>30</v>
      </c>
      <c r="C26">
        <v>25.423999999999999</v>
      </c>
      <c r="D26" s="1" t="s">
        <v>52</v>
      </c>
      <c r="E26">
        <v>6</v>
      </c>
      <c r="F26" s="1" t="s">
        <v>82</v>
      </c>
      <c r="G26" s="1" t="s">
        <v>83</v>
      </c>
      <c r="H26" s="1" t="s">
        <v>84</v>
      </c>
      <c r="I26" t="s">
        <v>36</v>
      </c>
    </row>
    <row r="27" spans="1:9" x14ac:dyDescent="0.3">
      <c r="A27" t="s">
        <v>85</v>
      </c>
      <c r="B27">
        <v>30</v>
      </c>
      <c r="C27">
        <v>25.423999999999999</v>
      </c>
      <c r="D27" s="1" t="s">
        <v>52</v>
      </c>
      <c r="E27">
        <v>6</v>
      </c>
      <c r="F27" s="1" t="s">
        <v>86</v>
      </c>
      <c r="G27" s="1" t="s">
        <v>87</v>
      </c>
      <c r="H27" s="1" t="s">
        <v>88</v>
      </c>
      <c r="I27" t="s">
        <v>36</v>
      </c>
    </row>
    <row r="28" spans="1:9" x14ac:dyDescent="0.3">
      <c r="A28" t="s">
        <v>89</v>
      </c>
      <c r="B28">
        <v>30</v>
      </c>
      <c r="C28">
        <v>25.456</v>
      </c>
      <c r="D28" s="1" t="s">
        <v>57</v>
      </c>
      <c r="E28">
        <v>6</v>
      </c>
      <c r="F28" s="1" t="s">
        <v>90</v>
      </c>
      <c r="G28" s="1" t="s">
        <v>91</v>
      </c>
      <c r="H28" s="1" t="s">
        <v>92</v>
      </c>
      <c r="I28" t="s">
        <v>36</v>
      </c>
    </row>
    <row r="29" spans="1:9" x14ac:dyDescent="0.3">
      <c r="A29" t="s">
        <v>93</v>
      </c>
      <c r="B29">
        <v>30</v>
      </c>
      <c r="C29">
        <v>25.44</v>
      </c>
      <c r="D29" s="1" t="s">
        <v>94</v>
      </c>
      <c r="E29">
        <v>6</v>
      </c>
      <c r="F29" s="1" t="s">
        <v>95</v>
      </c>
      <c r="G29" s="1" t="s">
        <v>96</v>
      </c>
      <c r="H29" s="1" t="s">
        <v>97</v>
      </c>
      <c r="I29" t="s">
        <v>36</v>
      </c>
    </row>
    <row r="30" spans="1:9" x14ac:dyDescent="0.3">
      <c r="A30" t="s">
        <v>98</v>
      </c>
      <c r="B30">
        <v>30</v>
      </c>
      <c r="C30">
        <v>25.423999999999999</v>
      </c>
      <c r="D30" s="1" t="s">
        <v>52</v>
      </c>
      <c r="E30">
        <v>6</v>
      </c>
      <c r="F30" s="1" t="s">
        <v>99</v>
      </c>
      <c r="G30" s="1" t="s">
        <v>100</v>
      </c>
      <c r="H30" s="1" t="s">
        <v>101</v>
      </c>
      <c r="I30" t="s">
        <v>36</v>
      </c>
    </row>
    <row r="31" spans="1:9" x14ac:dyDescent="0.3">
      <c r="A31" t="s">
        <v>102</v>
      </c>
      <c r="B31">
        <v>30</v>
      </c>
      <c r="C31">
        <v>25.391999999999999</v>
      </c>
      <c r="D31" s="1" t="s">
        <v>103</v>
      </c>
      <c r="E31">
        <v>6</v>
      </c>
      <c r="F31">
        <v>0.166426882147789</v>
      </c>
      <c r="G31" s="1" t="s">
        <v>104</v>
      </c>
      <c r="H31">
        <v>0.61432284116744995</v>
      </c>
      <c r="I31" t="s">
        <v>36</v>
      </c>
    </row>
    <row r="32" spans="1:9" x14ac:dyDescent="0.3">
      <c r="A32" t="s">
        <v>105</v>
      </c>
      <c r="B32">
        <v>30</v>
      </c>
      <c r="C32">
        <v>0.16</v>
      </c>
      <c r="D32" s="1" t="s">
        <v>106</v>
      </c>
      <c r="E32">
        <v>1</v>
      </c>
      <c r="F32">
        <v>0</v>
      </c>
      <c r="G32">
        <v>0</v>
      </c>
      <c r="H32">
        <v>0</v>
      </c>
      <c r="I32" t="s">
        <v>107</v>
      </c>
    </row>
    <row r="33" spans="1:9" x14ac:dyDescent="0.3">
      <c r="A33" t="s">
        <v>108</v>
      </c>
      <c r="B33">
        <v>30</v>
      </c>
      <c r="C33">
        <v>6.24</v>
      </c>
      <c r="D33">
        <v>20.8</v>
      </c>
      <c r="E33">
        <v>1</v>
      </c>
      <c r="F33" s="1" t="s">
        <v>109</v>
      </c>
      <c r="G33">
        <v>5.7659940794110298E-3</v>
      </c>
      <c r="H33" s="1" t="s">
        <v>110</v>
      </c>
      <c r="I33" t="s">
        <v>12</v>
      </c>
    </row>
    <row r="34" spans="1:9" x14ac:dyDescent="0.3">
      <c r="A34" t="s">
        <v>111</v>
      </c>
      <c r="B34">
        <v>30</v>
      </c>
      <c r="C34">
        <v>14.368</v>
      </c>
      <c r="D34" s="1" t="s">
        <v>112</v>
      </c>
      <c r="E34">
        <v>4</v>
      </c>
      <c r="F34" s="1" t="s">
        <v>113</v>
      </c>
      <c r="G34">
        <v>4.0309075266122797E-2</v>
      </c>
      <c r="H34" s="1" t="s">
        <v>114</v>
      </c>
      <c r="I34" t="s">
        <v>23</v>
      </c>
    </row>
    <row r="35" spans="1:9" x14ac:dyDescent="0.3">
      <c r="A35" t="s">
        <v>115</v>
      </c>
      <c r="B35">
        <v>30</v>
      </c>
      <c r="C35">
        <v>25.391999999999999</v>
      </c>
      <c r="D35" s="1" t="s">
        <v>103</v>
      </c>
      <c r="E35">
        <v>6</v>
      </c>
      <c r="F35" s="1" t="s">
        <v>116</v>
      </c>
      <c r="G35" s="1" t="s">
        <v>117</v>
      </c>
      <c r="H35" s="1" t="s">
        <v>118</v>
      </c>
      <c r="I35" t="s">
        <v>36</v>
      </c>
    </row>
    <row r="36" spans="1:9" x14ac:dyDescent="0.3">
      <c r="A36" t="s">
        <v>119</v>
      </c>
      <c r="B36">
        <v>30</v>
      </c>
      <c r="C36">
        <v>7.0720000000000001</v>
      </c>
      <c r="D36" s="1" t="s">
        <v>120</v>
      </c>
      <c r="E36">
        <v>1</v>
      </c>
      <c r="F36">
        <v>7.9618491232395103E-2</v>
      </c>
      <c r="G36">
        <v>7.5845681130885995E-2</v>
      </c>
      <c r="H36" s="1" t="s">
        <v>121</v>
      </c>
      <c r="I36" t="s">
        <v>23</v>
      </c>
    </row>
    <row r="37" spans="1:9" x14ac:dyDescent="0.3">
      <c r="A37" t="s">
        <v>122</v>
      </c>
      <c r="B37">
        <v>30</v>
      </c>
      <c r="C37">
        <v>14.48</v>
      </c>
      <c r="D37" s="1" t="s">
        <v>123</v>
      </c>
      <c r="E37">
        <v>5</v>
      </c>
      <c r="F37" s="1" t="s">
        <v>124</v>
      </c>
      <c r="G37">
        <v>4.0873691439628601E-2</v>
      </c>
      <c r="H37" s="1" t="s">
        <v>125</v>
      </c>
      <c r="I37" t="s">
        <v>23</v>
      </c>
    </row>
    <row r="38" spans="1:9" x14ac:dyDescent="0.3">
      <c r="A38" t="s">
        <v>126</v>
      </c>
      <c r="B38">
        <v>30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t="s">
        <v>14</v>
      </c>
    </row>
    <row r="39" spans="1:9" x14ac:dyDescent="0.3">
      <c r="A39" t="s">
        <v>127</v>
      </c>
      <c r="B39">
        <v>30</v>
      </c>
      <c r="C39">
        <v>6.4</v>
      </c>
      <c r="D39" s="1" t="s">
        <v>128</v>
      </c>
      <c r="E39">
        <v>1</v>
      </c>
      <c r="F39">
        <v>6.6045552492141696E-2</v>
      </c>
      <c r="G39" s="1" t="s">
        <v>129</v>
      </c>
      <c r="H39" s="1" t="s">
        <v>130</v>
      </c>
      <c r="I39" t="s">
        <v>23</v>
      </c>
    </row>
    <row r="40" spans="1:9" x14ac:dyDescent="0.3">
      <c r="A40" t="s">
        <v>131</v>
      </c>
      <c r="B40">
        <v>30</v>
      </c>
      <c r="C40">
        <v>13.984</v>
      </c>
      <c r="D40" s="1" t="s">
        <v>132</v>
      </c>
      <c r="E40">
        <v>4</v>
      </c>
      <c r="F40" s="1" t="s">
        <v>133</v>
      </c>
      <c r="G40">
        <v>4.2079761624336201E-2</v>
      </c>
      <c r="H40" s="1" t="s">
        <v>134</v>
      </c>
      <c r="I40" t="s">
        <v>23</v>
      </c>
    </row>
    <row r="41" spans="1:9" x14ac:dyDescent="0.3">
      <c r="A41" t="s">
        <v>135</v>
      </c>
      <c r="B41">
        <v>30</v>
      </c>
      <c r="C41">
        <v>25.472000000000001</v>
      </c>
      <c r="D41" s="1" t="s">
        <v>136</v>
      </c>
      <c r="E41">
        <v>6</v>
      </c>
      <c r="F41" s="1" t="s">
        <v>137</v>
      </c>
      <c r="G41" s="1" t="s">
        <v>138</v>
      </c>
      <c r="H41" s="1" t="s">
        <v>139</v>
      </c>
      <c r="I41" t="s">
        <v>36</v>
      </c>
    </row>
    <row r="42" spans="1:9" x14ac:dyDescent="0.3">
      <c r="A42" t="s">
        <v>140</v>
      </c>
      <c r="B42">
        <v>30</v>
      </c>
      <c r="C42">
        <v>7.04</v>
      </c>
      <c r="D42" s="1" t="s">
        <v>141</v>
      </c>
      <c r="E42">
        <v>1</v>
      </c>
      <c r="F42">
        <v>6.1364479362964602E-2</v>
      </c>
      <c r="G42" s="1" t="s">
        <v>142</v>
      </c>
      <c r="H42">
        <v>6.7882187664508806E-2</v>
      </c>
      <c r="I42" t="s">
        <v>12</v>
      </c>
    </row>
    <row r="43" spans="1:9" x14ac:dyDescent="0.3">
      <c r="A43" t="s">
        <v>143</v>
      </c>
      <c r="B43">
        <v>30</v>
      </c>
      <c r="C43">
        <v>14.544</v>
      </c>
      <c r="D43" s="1" t="s">
        <v>144</v>
      </c>
      <c r="E43">
        <v>5</v>
      </c>
      <c r="F43">
        <v>0.105396568775177</v>
      </c>
      <c r="G43">
        <v>4.0944736450910499E-2</v>
      </c>
      <c r="H43" s="1" t="s">
        <v>145</v>
      </c>
      <c r="I43" t="s">
        <v>23</v>
      </c>
    </row>
    <row r="44" spans="1:9" x14ac:dyDescent="0.3">
      <c r="A44" t="s">
        <v>146</v>
      </c>
      <c r="B44">
        <v>30</v>
      </c>
      <c r="C44">
        <v>25.36</v>
      </c>
      <c r="D44" s="1" t="s">
        <v>147</v>
      </c>
      <c r="E44">
        <v>6</v>
      </c>
      <c r="F44" s="1" t="s">
        <v>148</v>
      </c>
      <c r="G44" s="1" t="s">
        <v>149</v>
      </c>
      <c r="H44" s="1" t="s">
        <v>150</v>
      </c>
      <c r="I44" t="s">
        <v>36</v>
      </c>
    </row>
    <row r="45" spans="1:9" x14ac:dyDescent="0.3">
      <c r="A45" t="s">
        <v>151</v>
      </c>
      <c r="B45">
        <v>30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 t="s">
        <v>14</v>
      </c>
    </row>
    <row r="46" spans="1:9" x14ac:dyDescent="0.3">
      <c r="A46" t="s">
        <v>152</v>
      </c>
      <c r="B46">
        <v>30</v>
      </c>
      <c r="C46">
        <v>25.423999999999999</v>
      </c>
      <c r="D46" s="1" t="s">
        <v>52</v>
      </c>
      <c r="E46">
        <v>6</v>
      </c>
      <c r="F46" s="1" t="s">
        <v>153</v>
      </c>
      <c r="G46" s="1" t="s">
        <v>154</v>
      </c>
      <c r="H46" s="1" t="s">
        <v>155</v>
      </c>
      <c r="I46" t="s">
        <v>36</v>
      </c>
    </row>
    <row r="47" spans="1:9" x14ac:dyDescent="0.3">
      <c r="A47" t="s">
        <v>156</v>
      </c>
      <c r="B47">
        <v>30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 t="s">
        <v>14</v>
      </c>
    </row>
    <row r="48" spans="1:9" x14ac:dyDescent="0.3">
      <c r="A48" t="s">
        <v>157</v>
      </c>
      <c r="B48">
        <v>30</v>
      </c>
      <c r="C48">
        <v>24.8</v>
      </c>
      <c r="D48" s="1" t="s">
        <v>158</v>
      </c>
      <c r="E48">
        <v>6</v>
      </c>
      <c r="F48" s="1" t="s">
        <v>159</v>
      </c>
      <c r="G48" s="1" t="s">
        <v>160</v>
      </c>
      <c r="H48" s="1" t="s">
        <v>161</v>
      </c>
      <c r="I48" t="s">
        <v>36</v>
      </c>
    </row>
    <row r="49" spans="1:9" x14ac:dyDescent="0.3">
      <c r="A49" t="s">
        <v>162</v>
      </c>
      <c r="B49">
        <v>30</v>
      </c>
      <c r="C49">
        <v>25.135999999999999</v>
      </c>
      <c r="D49" s="1" t="s">
        <v>71</v>
      </c>
      <c r="E49">
        <v>6</v>
      </c>
      <c r="F49" s="1" t="s">
        <v>163</v>
      </c>
      <c r="G49" s="1" t="s">
        <v>164</v>
      </c>
      <c r="H49" s="1" t="s">
        <v>165</v>
      </c>
      <c r="I49" t="s">
        <v>36</v>
      </c>
    </row>
    <row r="50" spans="1:9" x14ac:dyDescent="0.3">
      <c r="A50" t="s">
        <v>166</v>
      </c>
      <c r="B50">
        <v>30</v>
      </c>
      <c r="C50">
        <v>24.832000000000001</v>
      </c>
      <c r="D50" s="1" t="s">
        <v>167</v>
      </c>
      <c r="E50">
        <v>6</v>
      </c>
      <c r="F50">
        <v>0.15615314245223999</v>
      </c>
      <c r="G50" s="1" t="s">
        <v>168</v>
      </c>
      <c r="H50">
        <v>0.61503136157989502</v>
      </c>
      <c r="I50" t="s">
        <v>36</v>
      </c>
    </row>
    <row r="51" spans="1:9" x14ac:dyDescent="0.3">
      <c r="A51" t="s">
        <v>169</v>
      </c>
      <c r="B51">
        <v>30</v>
      </c>
      <c r="C51">
        <v>24.751999999999999</v>
      </c>
      <c r="D51" s="1" t="s">
        <v>170</v>
      </c>
      <c r="E51">
        <v>6</v>
      </c>
      <c r="F51" s="1" t="s">
        <v>171</v>
      </c>
      <c r="G51" s="1" t="s">
        <v>172</v>
      </c>
      <c r="H51" s="1" t="s">
        <v>173</v>
      </c>
      <c r="I51" t="s">
        <v>36</v>
      </c>
    </row>
    <row r="52" spans="1:9" x14ac:dyDescent="0.3">
      <c r="A52" t="s">
        <v>174</v>
      </c>
      <c r="B52">
        <v>30</v>
      </c>
      <c r="C52">
        <v>25.103999999999999</v>
      </c>
      <c r="D52" s="1" t="s">
        <v>175</v>
      </c>
      <c r="E52">
        <v>6</v>
      </c>
      <c r="F52" s="1" t="s">
        <v>176</v>
      </c>
      <c r="G52" s="1" t="s">
        <v>177</v>
      </c>
      <c r="H52" s="1" t="s">
        <v>178</v>
      </c>
      <c r="I52" t="s">
        <v>36</v>
      </c>
    </row>
    <row r="53" spans="1:9" x14ac:dyDescent="0.3">
      <c r="A53" t="s">
        <v>179</v>
      </c>
      <c r="B53">
        <v>30</v>
      </c>
      <c r="C53">
        <v>25.423999999999999</v>
      </c>
      <c r="D53" s="1" t="s">
        <v>52</v>
      </c>
      <c r="E53">
        <v>6</v>
      </c>
      <c r="F53" s="1" t="s">
        <v>180</v>
      </c>
      <c r="G53" s="1" t="s">
        <v>181</v>
      </c>
      <c r="H53" s="1" t="s">
        <v>182</v>
      </c>
      <c r="I53" t="s">
        <v>36</v>
      </c>
    </row>
    <row r="54" spans="1:9" x14ac:dyDescent="0.3">
      <c r="A54" t="s">
        <v>183</v>
      </c>
      <c r="B54">
        <v>30</v>
      </c>
      <c r="C54">
        <v>25.408000000000001</v>
      </c>
      <c r="D54" s="1" t="s">
        <v>184</v>
      </c>
      <c r="E54">
        <v>6</v>
      </c>
      <c r="F54" s="1" t="s">
        <v>185</v>
      </c>
      <c r="G54" s="1" t="s">
        <v>186</v>
      </c>
      <c r="H54">
        <v>0.63538473844528198</v>
      </c>
      <c r="I54" t="s">
        <v>36</v>
      </c>
    </row>
    <row r="55" spans="1:9" x14ac:dyDescent="0.3">
      <c r="A55" t="s">
        <v>187</v>
      </c>
      <c r="B55">
        <v>30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 t="s">
        <v>14</v>
      </c>
    </row>
    <row r="56" spans="1:9" x14ac:dyDescent="0.3">
      <c r="A56" t="s">
        <v>188</v>
      </c>
      <c r="B56">
        <v>30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 t="s">
        <v>14</v>
      </c>
    </row>
    <row r="57" spans="1:9" x14ac:dyDescent="0.3">
      <c r="A57" t="s">
        <v>189</v>
      </c>
      <c r="B57">
        <v>30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 t="s">
        <v>14</v>
      </c>
    </row>
    <row r="58" spans="1:9" x14ac:dyDescent="0.3">
      <c r="A58" t="s">
        <v>190</v>
      </c>
      <c r="B58">
        <v>45</v>
      </c>
      <c r="C58">
        <v>39.911999999999999</v>
      </c>
      <c r="D58" s="1" t="s">
        <v>191</v>
      </c>
      <c r="E58">
        <v>2</v>
      </c>
      <c r="F58" s="1" t="s">
        <v>192</v>
      </c>
      <c r="G58">
        <v>9.0538874268531799E-2</v>
      </c>
      <c r="H58">
        <v>0.58201426267623901</v>
      </c>
      <c r="I58" t="s">
        <v>36</v>
      </c>
    </row>
    <row r="59" spans="1:9" x14ac:dyDescent="0.3">
      <c r="A59" t="s">
        <v>193</v>
      </c>
      <c r="B59">
        <v>45</v>
      </c>
      <c r="C59">
        <v>42.247999999999998</v>
      </c>
      <c r="D59" s="1" t="s">
        <v>194</v>
      </c>
      <c r="E59">
        <v>2</v>
      </c>
      <c r="F59" s="1" t="s">
        <v>195</v>
      </c>
      <c r="G59">
        <v>7.5462333858013098E-2</v>
      </c>
      <c r="H59" s="1" t="s">
        <v>196</v>
      </c>
      <c r="I59" t="s">
        <v>23</v>
      </c>
    </row>
    <row r="60" spans="1:9" x14ac:dyDescent="0.3">
      <c r="A60" t="s">
        <v>197</v>
      </c>
      <c r="B60">
        <v>45</v>
      </c>
      <c r="C60">
        <v>36.136000000000003</v>
      </c>
      <c r="D60" s="1" t="s">
        <v>198</v>
      </c>
      <c r="E60">
        <v>4</v>
      </c>
      <c r="F60" s="1" t="s">
        <v>199</v>
      </c>
      <c r="G60">
        <v>9.4447225332260104E-2</v>
      </c>
      <c r="H60" s="1" t="s">
        <v>200</v>
      </c>
      <c r="I60" t="s">
        <v>36</v>
      </c>
    </row>
    <row r="61" spans="1:9" x14ac:dyDescent="0.3">
      <c r="A61" t="s">
        <v>201</v>
      </c>
      <c r="B61">
        <v>45</v>
      </c>
      <c r="C61">
        <v>36.423999999999999</v>
      </c>
      <c r="D61" s="1" t="s">
        <v>202</v>
      </c>
      <c r="E61">
        <v>4</v>
      </c>
      <c r="F61" s="1" t="s">
        <v>203</v>
      </c>
      <c r="G61">
        <v>9.3681238591670907E-2</v>
      </c>
      <c r="H61" s="1" t="s">
        <v>204</v>
      </c>
      <c r="I61" t="s">
        <v>36</v>
      </c>
    </row>
    <row r="62" spans="1:9" x14ac:dyDescent="0.3">
      <c r="A62" t="s">
        <v>205</v>
      </c>
      <c r="B62">
        <v>45</v>
      </c>
      <c r="C62">
        <v>26.815999999999999</v>
      </c>
      <c r="D62" s="1" t="s">
        <v>206</v>
      </c>
      <c r="E62">
        <v>5</v>
      </c>
      <c r="F62" s="1" t="s">
        <v>207</v>
      </c>
      <c r="G62" s="1" t="s">
        <v>208</v>
      </c>
      <c r="H62" s="1" t="s">
        <v>209</v>
      </c>
      <c r="I62" t="s">
        <v>23</v>
      </c>
    </row>
    <row r="63" spans="1:9" x14ac:dyDescent="0.3">
      <c r="A63" t="s">
        <v>210</v>
      </c>
      <c r="B63">
        <v>30</v>
      </c>
      <c r="C63">
        <v>25.36</v>
      </c>
      <c r="D63" s="1" t="s">
        <v>147</v>
      </c>
      <c r="E63">
        <v>6</v>
      </c>
      <c r="F63" s="1" t="s">
        <v>211</v>
      </c>
      <c r="G63" s="1" t="s">
        <v>212</v>
      </c>
      <c r="H63" s="1" t="s">
        <v>213</v>
      </c>
      <c r="I63" t="s">
        <v>36</v>
      </c>
    </row>
    <row r="64" spans="1:9" x14ac:dyDescent="0.3">
      <c r="A64" t="s">
        <v>214</v>
      </c>
      <c r="B64">
        <v>30</v>
      </c>
      <c r="C64">
        <v>25.456</v>
      </c>
      <c r="D64" s="1" t="s">
        <v>57</v>
      </c>
      <c r="E64">
        <v>6</v>
      </c>
      <c r="F64" s="1" t="s">
        <v>215</v>
      </c>
      <c r="G64" s="1" t="s">
        <v>216</v>
      </c>
      <c r="H64" s="1" t="s">
        <v>217</v>
      </c>
      <c r="I64" t="s">
        <v>36</v>
      </c>
    </row>
    <row r="65" spans="1:9" x14ac:dyDescent="0.3">
      <c r="A65" t="s">
        <v>218</v>
      </c>
      <c r="B65">
        <v>30</v>
      </c>
      <c r="C65">
        <v>25.456</v>
      </c>
      <c r="D65" s="1" t="s">
        <v>57</v>
      </c>
      <c r="E65">
        <v>6</v>
      </c>
      <c r="F65" s="1" t="s">
        <v>219</v>
      </c>
      <c r="G65" s="1" t="s">
        <v>220</v>
      </c>
      <c r="H65" s="1" t="s">
        <v>221</v>
      </c>
      <c r="I65" t="s">
        <v>36</v>
      </c>
    </row>
    <row r="66" spans="1:9" x14ac:dyDescent="0.3">
      <c r="A66" t="s">
        <v>222</v>
      </c>
      <c r="B66">
        <v>30</v>
      </c>
      <c r="C66">
        <v>25.344000000000001</v>
      </c>
      <c r="D66">
        <v>84.48</v>
      </c>
      <c r="E66">
        <v>6</v>
      </c>
      <c r="F66" s="1" t="s">
        <v>223</v>
      </c>
      <c r="G66" s="1" t="s">
        <v>224</v>
      </c>
      <c r="H66" s="1" t="s">
        <v>225</v>
      </c>
      <c r="I66" t="s">
        <v>36</v>
      </c>
    </row>
    <row r="67" spans="1:9" x14ac:dyDescent="0.3">
      <c r="A67" t="s">
        <v>226</v>
      </c>
      <c r="B67">
        <v>30</v>
      </c>
      <c r="C67">
        <v>14.448</v>
      </c>
      <c r="D67" s="1" t="s">
        <v>227</v>
      </c>
      <c r="E67">
        <v>5</v>
      </c>
      <c r="F67" s="1" t="s">
        <v>228</v>
      </c>
      <c r="G67">
        <v>4.01457734405994E-2</v>
      </c>
      <c r="H67" s="1" t="s">
        <v>229</v>
      </c>
      <c r="I67" t="s">
        <v>23</v>
      </c>
    </row>
    <row r="68" spans="1:9" x14ac:dyDescent="0.3">
      <c r="A68" t="s">
        <v>230</v>
      </c>
      <c r="B68">
        <v>30</v>
      </c>
      <c r="C68">
        <v>5.8879999999999999</v>
      </c>
      <c r="D68" s="1" t="s">
        <v>231</v>
      </c>
      <c r="E68">
        <v>1</v>
      </c>
      <c r="F68">
        <v>0</v>
      </c>
      <c r="G68">
        <v>0</v>
      </c>
      <c r="H68">
        <v>0</v>
      </c>
      <c r="I68" t="s">
        <v>23</v>
      </c>
    </row>
    <row r="69" spans="1:9" x14ac:dyDescent="0.3">
      <c r="A69" t="s">
        <v>232</v>
      </c>
      <c r="B69">
        <v>30</v>
      </c>
      <c r="C69">
        <v>14.96</v>
      </c>
      <c r="D69" s="1" t="s">
        <v>233</v>
      </c>
      <c r="E69">
        <v>4</v>
      </c>
      <c r="F69" s="1" t="s">
        <v>234</v>
      </c>
      <c r="G69">
        <v>4.0931649506092002E-2</v>
      </c>
      <c r="H69" s="1" t="s">
        <v>235</v>
      </c>
      <c r="I69" t="s">
        <v>23</v>
      </c>
    </row>
    <row r="70" spans="1:9" x14ac:dyDescent="0.3">
      <c r="A70" t="s">
        <v>236</v>
      </c>
      <c r="B70">
        <v>30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 t="s">
        <v>14</v>
      </c>
    </row>
    <row r="71" spans="1:9" x14ac:dyDescent="0.3">
      <c r="A71" t="s">
        <v>237</v>
      </c>
      <c r="B71">
        <v>30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 t="s">
        <v>14</v>
      </c>
    </row>
    <row r="72" spans="1:9" x14ac:dyDescent="0.3">
      <c r="A72" t="s">
        <v>238</v>
      </c>
      <c r="B72">
        <v>30</v>
      </c>
      <c r="C72">
        <v>25.456</v>
      </c>
      <c r="D72" s="1" t="s">
        <v>57</v>
      </c>
      <c r="E72">
        <v>6</v>
      </c>
      <c r="F72" s="1" t="s">
        <v>239</v>
      </c>
      <c r="G72" s="1" t="s">
        <v>240</v>
      </c>
      <c r="H72" s="1" t="s">
        <v>241</v>
      </c>
      <c r="I72" t="s">
        <v>36</v>
      </c>
    </row>
    <row r="73" spans="1:9" x14ac:dyDescent="0.3">
      <c r="A73" t="s">
        <v>242</v>
      </c>
      <c r="B73">
        <v>30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 t="s">
        <v>14</v>
      </c>
    </row>
    <row r="74" spans="1:9" x14ac:dyDescent="0.3">
      <c r="A74" t="s">
        <v>243</v>
      </c>
      <c r="B74">
        <v>30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 t="s">
        <v>14</v>
      </c>
    </row>
    <row r="75" spans="1:9" x14ac:dyDescent="0.3">
      <c r="A75" t="s">
        <v>244</v>
      </c>
      <c r="B75">
        <v>30</v>
      </c>
      <c r="C75">
        <v>25.456</v>
      </c>
      <c r="D75" s="1" t="s">
        <v>57</v>
      </c>
      <c r="E75">
        <v>6</v>
      </c>
      <c r="F75" s="1" t="s">
        <v>245</v>
      </c>
      <c r="G75" s="1" t="s">
        <v>246</v>
      </c>
      <c r="H75" s="1" t="s">
        <v>247</v>
      </c>
      <c r="I75" t="s">
        <v>36</v>
      </c>
    </row>
    <row r="76" spans="1:9" x14ac:dyDescent="0.3">
      <c r="A76" t="s">
        <v>248</v>
      </c>
      <c r="B76">
        <v>30</v>
      </c>
      <c r="C76">
        <v>25.231999999999999</v>
      </c>
      <c r="D76" s="1" t="s">
        <v>249</v>
      </c>
      <c r="E76">
        <v>6</v>
      </c>
      <c r="F76" s="1" t="s">
        <v>250</v>
      </c>
      <c r="G76" s="1" t="s">
        <v>251</v>
      </c>
      <c r="H76" s="1" t="s">
        <v>252</v>
      </c>
      <c r="I76" t="s">
        <v>36</v>
      </c>
    </row>
    <row r="77" spans="1:9" x14ac:dyDescent="0.3">
      <c r="A77" t="s">
        <v>253</v>
      </c>
      <c r="B77">
        <v>30</v>
      </c>
      <c r="C77">
        <v>25.488</v>
      </c>
      <c r="D77" s="1" t="s">
        <v>62</v>
      </c>
      <c r="E77">
        <v>6</v>
      </c>
      <c r="F77" s="1" t="s">
        <v>254</v>
      </c>
      <c r="G77" s="1" t="s">
        <v>255</v>
      </c>
      <c r="H77" s="1" t="s">
        <v>256</v>
      </c>
      <c r="I77" t="s">
        <v>36</v>
      </c>
    </row>
    <row r="78" spans="1:9" x14ac:dyDescent="0.3">
      <c r="A78" t="s">
        <v>257</v>
      </c>
      <c r="B78">
        <v>30</v>
      </c>
      <c r="C78">
        <v>25.472000000000001</v>
      </c>
      <c r="D78" s="1" t="s">
        <v>136</v>
      </c>
      <c r="E78">
        <v>6</v>
      </c>
      <c r="F78" s="1" t="s">
        <v>258</v>
      </c>
      <c r="G78" s="1" t="s">
        <v>259</v>
      </c>
      <c r="H78" s="1" t="s">
        <v>260</v>
      </c>
      <c r="I78" t="s">
        <v>36</v>
      </c>
    </row>
    <row r="79" spans="1:9" x14ac:dyDescent="0.3">
      <c r="A79" t="s">
        <v>261</v>
      </c>
      <c r="B79">
        <v>30</v>
      </c>
      <c r="C79">
        <v>0.16</v>
      </c>
      <c r="D79" s="1" t="s">
        <v>106</v>
      </c>
      <c r="E79">
        <v>1</v>
      </c>
      <c r="F79">
        <v>0</v>
      </c>
      <c r="G79">
        <v>0</v>
      </c>
      <c r="H79">
        <v>0</v>
      </c>
      <c r="I79" t="s">
        <v>107</v>
      </c>
    </row>
    <row r="80" spans="1:9" x14ac:dyDescent="0.3">
      <c r="A80" t="s">
        <v>262</v>
      </c>
      <c r="B80">
        <v>30</v>
      </c>
      <c r="C80">
        <v>0.16</v>
      </c>
      <c r="D80" s="1" t="s">
        <v>106</v>
      </c>
      <c r="E80">
        <v>1</v>
      </c>
      <c r="F80">
        <v>0</v>
      </c>
      <c r="G80">
        <v>0</v>
      </c>
      <c r="H80">
        <v>0</v>
      </c>
      <c r="I80" t="s">
        <v>107</v>
      </c>
    </row>
    <row r="81" spans="1:9" x14ac:dyDescent="0.3">
      <c r="A81" t="s">
        <v>263</v>
      </c>
      <c r="B81">
        <v>30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 t="s">
        <v>14</v>
      </c>
    </row>
    <row r="82" spans="1:9" x14ac:dyDescent="0.3">
      <c r="A82" t="s">
        <v>264</v>
      </c>
      <c r="B82">
        <v>30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 t="s">
        <v>14</v>
      </c>
    </row>
    <row r="83" spans="1:9" x14ac:dyDescent="0.3">
      <c r="A83" t="s">
        <v>265</v>
      </c>
      <c r="B83">
        <v>30</v>
      </c>
      <c r="C83">
        <v>0.16</v>
      </c>
      <c r="D83" s="1" t="s">
        <v>106</v>
      </c>
      <c r="E83">
        <v>1</v>
      </c>
      <c r="F83">
        <v>0</v>
      </c>
      <c r="G83">
        <v>0</v>
      </c>
      <c r="H83">
        <v>0</v>
      </c>
      <c r="I83" t="s">
        <v>107</v>
      </c>
    </row>
    <row r="84" spans="1:9" x14ac:dyDescent="0.3">
      <c r="A84" t="s">
        <v>266</v>
      </c>
      <c r="B84">
        <v>30</v>
      </c>
      <c r="C84">
        <v>0.16</v>
      </c>
      <c r="D84" s="1" t="s">
        <v>106</v>
      </c>
      <c r="E84">
        <v>1</v>
      </c>
      <c r="F84">
        <v>0</v>
      </c>
      <c r="G84">
        <v>0</v>
      </c>
      <c r="H84">
        <v>0</v>
      </c>
      <c r="I84" t="s">
        <v>107</v>
      </c>
    </row>
    <row r="85" spans="1:9" x14ac:dyDescent="0.3">
      <c r="A85" t="s">
        <v>267</v>
      </c>
      <c r="B85">
        <v>30</v>
      </c>
      <c r="C85">
        <v>0.16</v>
      </c>
      <c r="D85" s="1" t="s">
        <v>106</v>
      </c>
      <c r="E85">
        <v>1</v>
      </c>
      <c r="F85">
        <v>0</v>
      </c>
      <c r="G85">
        <v>0</v>
      </c>
      <c r="H85">
        <v>0</v>
      </c>
      <c r="I85" t="s">
        <v>107</v>
      </c>
    </row>
    <row r="86" spans="1:9" x14ac:dyDescent="0.3">
      <c r="A86" t="s">
        <v>268</v>
      </c>
      <c r="B86">
        <v>30</v>
      </c>
      <c r="C86">
        <v>0.16</v>
      </c>
      <c r="D86" s="1" t="s">
        <v>106</v>
      </c>
      <c r="E86">
        <v>1</v>
      </c>
      <c r="F86">
        <v>0</v>
      </c>
      <c r="G86">
        <v>0</v>
      </c>
      <c r="H86">
        <v>0</v>
      </c>
      <c r="I86" t="s">
        <v>107</v>
      </c>
    </row>
    <row r="87" spans="1:9" x14ac:dyDescent="0.3">
      <c r="A87" t="s">
        <v>269</v>
      </c>
      <c r="B87">
        <v>30</v>
      </c>
      <c r="C87">
        <v>0.16</v>
      </c>
      <c r="D87" s="1" t="s">
        <v>106</v>
      </c>
      <c r="E87">
        <v>1</v>
      </c>
      <c r="F87">
        <v>0</v>
      </c>
      <c r="G87">
        <v>0</v>
      </c>
      <c r="H87">
        <v>0</v>
      </c>
      <c r="I87" t="s">
        <v>107</v>
      </c>
    </row>
    <row r="88" spans="1:9" x14ac:dyDescent="0.3">
      <c r="A88" t="s">
        <v>270</v>
      </c>
      <c r="B88">
        <v>30</v>
      </c>
      <c r="C88">
        <v>0.16</v>
      </c>
      <c r="D88" s="1" t="s">
        <v>106</v>
      </c>
      <c r="E88">
        <v>1</v>
      </c>
      <c r="F88">
        <v>0</v>
      </c>
      <c r="G88">
        <v>0</v>
      </c>
      <c r="H88">
        <v>0</v>
      </c>
      <c r="I88" t="s">
        <v>107</v>
      </c>
    </row>
    <row r="89" spans="1:9" x14ac:dyDescent="0.3">
      <c r="A89" t="s">
        <v>271</v>
      </c>
      <c r="B89">
        <v>30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 t="s">
        <v>14</v>
      </c>
    </row>
    <row r="90" spans="1:9" x14ac:dyDescent="0.3">
      <c r="A90" t="s">
        <v>272</v>
      </c>
      <c r="B90">
        <v>30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 t="s">
        <v>14</v>
      </c>
    </row>
    <row r="91" spans="1:9" x14ac:dyDescent="0.3">
      <c r="A91" t="s">
        <v>273</v>
      </c>
      <c r="B91">
        <v>30</v>
      </c>
      <c r="C91">
        <v>0.16</v>
      </c>
      <c r="D91" s="1" t="s">
        <v>106</v>
      </c>
      <c r="E91">
        <v>1</v>
      </c>
      <c r="F91">
        <v>0</v>
      </c>
      <c r="G91">
        <v>0</v>
      </c>
      <c r="H91">
        <v>0</v>
      </c>
      <c r="I91" t="s">
        <v>107</v>
      </c>
    </row>
    <row r="92" spans="1:9" x14ac:dyDescent="0.3">
      <c r="A92" t="s">
        <v>274</v>
      </c>
      <c r="B92">
        <v>30</v>
      </c>
      <c r="C92">
        <v>0.16</v>
      </c>
      <c r="D92" s="1" t="s">
        <v>106</v>
      </c>
      <c r="E92">
        <v>1</v>
      </c>
      <c r="F92">
        <v>0</v>
      </c>
      <c r="G92">
        <v>0</v>
      </c>
      <c r="H92">
        <v>0</v>
      </c>
      <c r="I92" t="s">
        <v>107</v>
      </c>
    </row>
    <row r="93" spans="1:9" x14ac:dyDescent="0.3">
      <c r="A93" t="s">
        <v>275</v>
      </c>
      <c r="B93">
        <v>45</v>
      </c>
      <c r="C93">
        <v>38.688000000000002</v>
      </c>
      <c r="D93" s="1" t="s">
        <v>276</v>
      </c>
      <c r="E93">
        <v>1</v>
      </c>
      <c r="F93" s="1" t="s">
        <v>277</v>
      </c>
      <c r="G93">
        <v>2.8106586541980501E-3</v>
      </c>
      <c r="H93">
        <v>4.68257665634155E-2</v>
      </c>
      <c r="I93" t="s">
        <v>12</v>
      </c>
    </row>
    <row r="94" spans="1:9" x14ac:dyDescent="0.3">
      <c r="A94" t="s">
        <v>278</v>
      </c>
      <c r="B94">
        <v>30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 t="s">
        <v>14</v>
      </c>
    </row>
    <row r="95" spans="1:9" x14ac:dyDescent="0.3">
      <c r="A95" t="s">
        <v>279</v>
      </c>
      <c r="B95">
        <v>30</v>
      </c>
      <c r="C95">
        <v>0.16</v>
      </c>
      <c r="D95" s="1" t="s">
        <v>106</v>
      </c>
      <c r="E95">
        <v>1</v>
      </c>
      <c r="F95">
        <v>0</v>
      </c>
      <c r="G95">
        <v>0</v>
      </c>
      <c r="H95">
        <v>0</v>
      </c>
      <c r="I95" t="s">
        <v>107</v>
      </c>
    </row>
    <row r="96" spans="1:9" x14ac:dyDescent="0.3">
      <c r="A96" t="s">
        <v>280</v>
      </c>
      <c r="B96">
        <v>30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 t="s">
        <v>14</v>
      </c>
    </row>
    <row r="97" spans="1:9" x14ac:dyDescent="0.3">
      <c r="A97" t="s">
        <v>281</v>
      </c>
      <c r="B97">
        <v>30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 t="s">
        <v>14</v>
      </c>
    </row>
    <row r="98" spans="1:9" x14ac:dyDescent="0.3">
      <c r="A98" t="s">
        <v>282</v>
      </c>
      <c r="B98">
        <v>30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 t="s">
        <v>14</v>
      </c>
    </row>
    <row r="99" spans="1:9" x14ac:dyDescent="0.3">
      <c r="A99" t="s">
        <v>283</v>
      </c>
      <c r="B99">
        <v>30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 t="s">
        <v>14</v>
      </c>
    </row>
    <row r="100" spans="1:9" x14ac:dyDescent="0.3">
      <c r="A100" t="s">
        <v>284</v>
      </c>
      <c r="B100">
        <v>30</v>
      </c>
      <c r="C100">
        <v>0.128</v>
      </c>
      <c r="D100" s="1" t="s">
        <v>285</v>
      </c>
      <c r="E100">
        <v>1</v>
      </c>
      <c r="F100">
        <v>0</v>
      </c>
      <c r="G100">
        <v>0</v>
      </c>
      <c r="H100">
        <v>0</v>
      </c>
      <c r="I100" t="s">
        <v>107</v>
      </c>
    </row>
    <row r="101" spans="1:9" x14ac:dyDescent="0.3">
      <c r="A101" t="s">
        <v>286</v>
      </c>
      <c r="B101">
        <v>30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 t="s">
        <v>14</v>
      </c>
    </row>
    <row r="102" spans="1:9" x14ac:dyDescent="0.3">
      <c r="A102" t="s">
        <v>287</v>
      </c>
      <c r="B102">
        <v>30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 t="s">
        <v>14</v>
      </c>
    </row>
    <row r="103" spans="1:9" x14ac:dyDescent="0.3">
      <c r="A103" t="s">
        <v>288</v>
      </c>
      <c r="B103">
        <v>30</v>
      </c>
      <c r="C103">
        <v>0.16</v>
      </c>
      <c r="D103" s="1" t="s">
        <v>106</v>
      </c>
      <c r="E103">
        <v>1</v>
      </c>
      <c r="F103">
        <v>0</v>
      </c>
      <c r="G103">
        <v>0</v>
      </c>
      <c r="H103">
        <v>0</v>
      </c>
      <c r="I103" t="s">
        <v>107</v>
      </c>
    </row>
    <row r="104" spans="1:9" x14ac:dyDescent="0.3">
      <c r="A104" t="s">
        <v>289</v>
      </c>
      <c r="B104">
        <v>30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 t="s">
        <v>14</v>
      </c>
    </row>
    <row r="105" spans="1:9" x14ac:dyDescent="0.3">
      <c r="A105" t="s">
        <v>290</v>
      </c>
      <c r="B105">
        <v>30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 t="s">
        <v>14</v>
      </c>
    </row>
    <row r="106" spans="1:9" x14ac:dyDescent="0.3">
      <c r="A106" t="s">
        <v>291</v>
      </c>
      <c r="B106">
        <v>30</v>
      </c>
      <c r="C106">
        <v>0.16</v>
      </c>
      <c r="D106" s="1" t="s">
        <v>106</v>
      </c>
      <c r="E106">
        <v>1</v>
      </c>
      <c r="F106">
        <v>0</v>
      </c>
      <c r="G106">
        <v>0</v>
      </c>
      <c r="H106">
        <v>0</v>
      </c>
      <c r="I106" t="s">
        <v>107</v>
      </c>
    </row>
    <row r="107" spans="1:9" x14ac:dyDescent="0.3">
      <c r="A107" t="s">
        <v>292</v>
      </c>
      <c r="B107">
        <v>30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 t="s">
        <v>14</v>
      </c>
    </row>
    <row r="108" spans="1:9" x14ac:dyDescent="0.3">
      <c r="A108" t="s">
        <v>293</v>
      </c>
      <c r="B108">
        <v>45</v>
      </c>
      <c r="C108">
        <v>27.72</v>
      </c>
      <c r="D108">
        <v>61.6</v>
      </c>
      <c r="E108">
        <v>5</v>
      </c>
      <c r="F108" s="1" t="s">
        <v>294</v>
      </c>
      <c r="G108">
        <v>6.6722124814987099E-2</v>
      </c>
      <c r="H108" s="1" t="s">
        <v>295</v>
      </c>
      <c r="I108" t="s">
        <v>23</v>
      </c>
    </row>
    <row r="109" spans="1:9" x14ac:dyDescent="0.3">
      <c r="A109" t="s">
        <v>296</v>
      </c>
      <c r="B109">
        <v>30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 t="s">
        <v>14</v>
      </c>
    </row>
    <row r="110" spans="1:9" x14ac:dyDescent="0.3">
      <c r="A110" t="s">
        <v>297</v>
      </c>
      <c r="B110">
        <v>30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FD3E3-04DC-4E02-9D88-D40BE3105B69}">
  <dimension ref="A1:G52"/>
  <sheetViews>
    <sheetView tabSelected="1" zoomScale="40" zoomScaleNormal="40" workbookViewId="0">
      <selection activeCell="AA40" sqref="AA40"/>
    </sheetView>
  </sheetViews>
  <sheetFormatPr baseColWidth="10" defaultRowHeight="14.4" x14ac:dyDescent="0.3"/>
  <cols>
    <col min="1" max="1" width="27.77734375" customWidth="1"/>
    <col min="2" max="2" width="24.109375" customWidth="1"/>
    <col min="3" max="4" width="20.33203125" customWidth="1"/>
    <col min="5" max="8" width="16.6640625" customWidth="1"/>
  </cols>
  <sheetData>
    <row r="1" spans="1:5" ht="30" customHeight="1" x14ac:dyDescent="0.45">
      <c r="A1" s="5" t="s">
        <v>308</v>
      </c>
    </row>
    <row r="3" spans="1:5" x14ac:dyDescent="0.3">
      <c r="A3" s="2" t="s">
        <v>298</v>
      </c>
      <c r="B3" t="s">
        <v>300</v>
      </c>
      <c r="C3" t="s">
        <v>301</v>
      </c>
      <c r="D3" t="s">
        <v>302</v>
      </c>
      <c r="E3" t="s">
        <v>303</v>
      </c>
    </row>
    <row r="4" spans="1:5" x14ac:dyDescent="0.3">
      <c r="A4" s="3" t="s">
        <v>23</v>
      </c>
      <c r="B4" s="4">
        <v>17</v>
      </c>
      <c r="C4" s="8">
        <v>600</v>
      </c>
      <c r="D4" s="6">
        <v>17.367529411764707</v>
      </c>
      <c r="E4" s="7">
        <v>61.6</v>
      </c>
    </row>
    <row r="5" spans="1:5" x14ac:dyDescent="0.3">
      <c r="A5" s="3" t="s">
        <v>12</v>
      </c>
      <c r="B5" s="4">
        <v>4</v>
      </c>
      <c r="C5" s="8">
        <v>150</v>
      </c>
      <c r="D5" s="6">
        <v>16.96</v>
      </c>
      <c r="E5" s="7">
        <v>20.8</v>
      </c>
    </row>
    <row r="6" spans="1:5" x14ac:dyDescent="0.3">
      <c r="A6" s="3" t="s">
        <v>14</v>
      </c>
      <c r="B6" s="4">
        <v>36</v>
      </c>
      <c r="C6" s="8">
        <v>1080</v>
      </c>
      <c r="D6" s="6">
        <v>0</v>
      </c>
      <c r="E6" s="7">
        <v>0</v>
      </c>
    </row>
    <row r="7" spans="1:5" x14ac:dyDescent="0.3">
      <c r="A7" s="3" t="s">
        <v>36</v>
      </c>
      <c r="B7" s="4">
        <v>37</v>
      </c>
      <c r="C7" s="8">
        <v>1185</v>
      </c>
      <c r="D7" s="6">
        <v>25.761945945945946</v>
      </c>
      <c r="E7" s="7">
        <v>84.48</v>
      </c>
    </row>
    <row r="8" spans="1:5" x14ac:dyDescent="0.3">
      <c r="A8" s="3" t="s">
        <v>107</v>
      </c>
      <c r="B8" s="4">
        <v>15</v>
      </c>
      <c r="C8" s="8">
        <v>450</v>
      </c>
      <c r="D8" s="6">
        <v>0.15786666666666666</v>
      </c>
      <c r="E8" s="7" t="e">
        <v>#DIV/0!</v>
      </c>
    </row>
    <row r="9" spans="1:5" x14ac:dyDescent="0.3">
      <c r="A9" s="3" t="s">
        <v>299</v>
      </c>
      <c r="B9" s="4">
        <v>109</v>
      </c>
      <c r="C9" s="8">
        <v>3465</v>
      </c>
      <c r="D9" s="6">
        <v>12.097688073394501</v>
      </c>
      <c r="E9" s="7">
        <v>4.2789743589743585</v>
      </c>
    </row>
    <row r="12" spans="1:5" x14ac:dyDescent="0.3">
      <c r="A12" s="2" t="s">
        <v>298</v>
      </c>
      <c r="B12" t="s">
        <v>304</v>
      </c>
      <c r="C12" t="s">
        <v>305</v>
      </c>
    </row>
    <row r="13" spans="1:5" x14ac:dyDescent="0.3">
      <c r="A13" s="3">
        <v>0</v>
      </c>
      <c r="B13" s="4">
        <v>36</v>
      </c>
      <c r="C13" s="4">
        <v>0</v>
      </c>
    </row>
    <row r="14" spans="1:5" x14ac:dyDescent="0.3">
      <c r="A14" s="3">
        <v>1</v>
      </c>
      <c r="B14" s="4">
        <v>24</v>
      </c>
      <c r="C14" s="4">
        <v>1.3520868406409299E-2</v>
      </c>
    </row>
    <row r="15" spans="1:5" x14ac:dyDescent="0.3">
      <c r="A15" s="3">
        <v>2</v>
      </c>
      <c r="B15" s="4">
        <v>2</v>
      </c>
      <c r="C15" s="4" t="e">
        <v>#DIV/0!</v>
      </c>
    </row>
    <row r="16" spans="1:5" x14ac:dyDescent="0.3">
      <c r="A16" s="3">
        <v>4</v>
      </c>
      <c r="B16" s="4">
        <v>6</v>
      </c>
      <c r="C16" s="4">
        <v>7.26495906710624E-2</v>
      </c>
    </row>
    <row r="17" spans="1:7" x14ac:dyDescent="0.3">
      <c r="A17" s="3">
        <v>5</v>
      </c>
      <c r="B17" s="4">
        <v>7</v>
      </c>
      <c r="C17" s="4">
        <v>0.105396568775177</v>
      </c>
    </row>
    <row r="18" spans="1:7" x14ac:dyDescent="0.3">
      <c r="A18" s="3">
        <v>6</v>
      </c>
      <c r="B18" s="4">
        <v>34</v>
      </c>
      <c r="C18" s="4">
        <v>0.14832674215237299</v>
      </c>
    </row>
    <row r="19" spans="1:7" x14ac:dyDescent="0.3">
      <c r="A19" s="3" t="s">
        <v>299</v>
      </c>
      <c r="B19" s="4">
        <v>109</v>
      </c>
      <c r="C19" s="4">
        <v>1.4628461652225059E-2</v>
      </c>
    </row>
    <row r="22" spans="1:7" x14ac:dyDescent="0.3">
      <c r="A22" s="2" t="s">
        <v>307</v>
      </c>
      <c r="B22" s="2" t="s">
        <v>306</v>
      </c>
    </row>
    <row r="23" spans="1:7" x14ac:dyDescent="0.3">
      <c r="A23" s="2" t="s">
        <v>298</v>
      </c>
      <c r="B23" t="s">
        <v>23</v>
      </c>
      <c r="C23" t="s">
        <v>12</v>
      </c>
      <c r="D23" t="s">
        <v>14</v>
      </c>
      <c r="E23" t="s">
        <v>36</v>
      </c>
      <c r="F23" t="s">
        <v>107</v>
      </c>
      <c r="G23" t="s">
        <v>299</v>
      </c>
    </row>
    <row r="24" spans="1:7" x14ac:dyDescent="0.3">
      <c r="A24" s="3">
        <v>0</v>
      </c>
      <c r="B24" s="4"/>
      <c r="C24" s="4"/>
      <c r="D24" s="4">
        <v>36</v>
      </c>
      <c r="E24" s="4"/>
      <c r="F24" s="4"/>
      <c r="G24" s="4">
        <v>36</v>
      </c>
    </row>
    <row r="25" spans="1:7" x14ac:dyDescent="0.3">
      <c r="A25" s="3">
        <v>1</v>
      </c>
      <c r="B25" s="4">
        <v>5</v>
      </c>
      <c r="C25" s="4">
        <v>3</v>
      </c>
      <c r="D25" s="4"/>
      <c r="E25" s="4">
        <v>1</v>
      </c>
      <c r="F25" s="4">
        <v>15</v>
      </c>
      <c r="G25" s="4">
        <v>24</v>
      </c>
    </row>
    <row r="26" spans="1:7" x14ac:dyDescent="0.3">
      <c r="A26" s="3">
        <v>2</v>
      </c>
      <c r="B26" s="4">
        <v>1</v>
      </c>
      <c r="C26" s="4"/>
      <c r="D26" s="4"/>
      <c r="E26" s="4">
        <v>1</v>
      </c>
      <c r="F26" s="4"/>
      <c r="G26" s="4">
        <v>2</v>
      </c>
    </row>
    <row r="27" spans="1:7" x14ac:dyDescent="0.3">
      <c r="A27" s="3">
        <v>4</v>
      </c>
      <c r="B27" s="4">
        <v>3</v>
      </c>
      <c r="C27" s="4">
        <v>1</v>
      </c>
      <c r="D27" s="4"/>
      <c r="E27" s="4">
        <v>2</v>
      </c>
      <c r="F27" s="4"/>
      <c r="G27" s="4">
        <v>6</v>
      </c>
    </row>
    <row r="28" spans="1:7" x14ac:dyDescent="0.3">
      <c r="A28" s="3">
        <v>5</v>
      </c>
      <c r="B28" s="4">
        <v>6</v>
      </c>
      <c r="C28" s="4"/>
      <c r="D28" s="4"/>
      <c r="E28" s="4">
        <v>1</v>
      </c>
      <c r="F28" s="4"/>
      <c r="G28" s="4">
        <v>7</v>
      </c>
    </row>
    <row r="29" spans="1:7" x14ac:dyDescent="0.3">
      <c r="A29" s="3">
        <v>6</v>
      </c>
      <c r="B29" s="4">
        <v>2</v>
      </c>
      <c r="C29" s="4"/>
      <c r="D29" s="4"/>
      <c r="E29" s="4">
        <v>32</v>
      </c>
      <c r="F29" s="4"/>
      <c r="G29" s="4">
        <v>34</v>
      </c>
    </row>
    <row r="30" spans="1:7" x14ac:dyDescent="0.3">
      <c r="A30" s="3" t="s">
        <v>299</v>
      </c>
      <c r="B30" s="4">
        <v>17</v>
      </c>
      <c r="C30" s="4">
        <v>4</v>
      </c>
      <c r="D30" s="4">
        <v>36</v>
      </c>
      <c r="E30" s="4">
        <v>37</v>
      </c>
      <c r="F30" s="4">
        <v>15</v>
      </c>
      <c r="G30" s="4">
        <v>109</v>
      </c>
    </row>
    <row r="32" spans="1:7" ht="18" x14ac:dyDescent="0.35">
      <c r="A32" s="9" t="s">
        <v>309</v>
      </c>
    </row>
    <row r="34" spans="1:4" x14ac:dyDescent="0.3">
      <c r="A34" s="10" t="s">
        <v>310</v>
      </c>
      <c r="B34" s="10" t="s">
        <v>311</v>
      </c>
    </row>
    <row r="35" spans="1:4" x14ac:dyDescent="0.3">
      <c r="A35" s="11" t="s">
        <v>312</v>
      </c>
      <c r="B35" s="12">
        <f>COUNTA(TablaAudio[archivo])</f>
        <v>109</v>
      </c>
    </row>
    <row r="36" spans="1:4" x14ac:dyDescent="0.3">
      <c r="A36" s="11" t="s">
        <v>313</v>
      </c>
      <c r="B36" s="12">
        <f>COUNTIF(TablaAudio[audio_util],"&gt;0")</f>
        <v>73</v>
      </c>
    </row>
    <row r="37" spans="1:4" x14ac:dyDescent="0.3">
      <c r="A37" s="11" t="s">
        <v>314</v>
      </c>
      <c r="B37" s="12">
        <f>COUNTIF(TablaAudio[clase],"silencio_real")</f>
        <v>36</v>
      </c>
    </row>
    <row r="38" spans="1:4" x14ac:dyDescent="0.3">
      <c r="A38" s="11" t="s">
        <v>315</v>
      </c>
      <c r="B38" s="13">
        <f>SUM(TablaAudio[duracion_total])/60</f>
        <v>57.75</v>
      </c>
    </row>
    <row r="39" spans="1:4" x14ac:dyDescent="0.3">
      <c r="A39" s="11" t="s">
        <v>316</v>
      </c>
      <c r="B39" s="13">
        <f>SUM(TablaAudio[audio_util])/60</f>
        <v>21.977466666666679</v>
      </c>
    </row>
    <row r="40" spans="1:4" x14ac:dyDescent="0.3">
      <c r="A40" s="11" t="s">
        <v>317</v>
      </c>
      <c r="B40" s="14">
        <f>AVERAGE(TablaAudio[porcentaje_audio])</f>
        <v>4.2789743589743585</v>
      </c>
    </row>
    <row r="41" spans="1:4" x14ac:dyDescent="0.3">
      <c r="A41" s="11" t="s">
        <v>318</v>
      </c>
      <c r="B41" s="15">
        <f>AVERAGEIF(TablaAudio[rms_mean],"&gt;0")</f>
        <v>0.10077384693755041</v>
      </c>
    </row>
    <row r="42" spans="1:4" x14ac:dyDescent="0.3">
      <c r="A42" s="11" t="s">
        <v>319</v>
      </c>
      <c r="B42" s="15">
        <f>AVERAGEIF(TablaAudio[rango_dinamico],"&gt;0")</f>
        <v>0.37628238648176193</v>
      </c>
    </row>
    <row r="45" spans="1:4" ht="18" x14ac:dyDescent="0.35">
      <c r="A45" s="9" t="s">
        <v>320</v>
      </c>
    </row>
    <row r="47" spans="1:4" x14ac:dyDescent="0.3">
      <c r="A47" s="16" t="s">
        <v>321</v>
      </c>
      <c r="B47" s="16" t="s">
        <v>305</v>
      </c>
      <c r="C47" s="16" t="s">
        <v>322</v>
      </c>
      <c r="D47" s="16" t="s">
        <v>323</v>
      </c>
    </row>
    <row r="48" spans="1:4" x14ac:dyDescent="0.3">
      <c r="A48" s="11" t="s">
        <v>23</v>
      </c>
      <c r="B48" s="15">
        <f>AVERAGEIF(TablaAudio[clase],"gris",TablaAudio[rms_mean])</f>
        <v>6.4338646829128252E-2</v>
      </c>
      <c r="C48" s="15">
        <f>AVERAGEIF(TablaAudio[clase],"gris",TablaAudio[rango_dinamico])</f>
        <v>0</v>
      </c>
      <c r="D48" s="15">
        <f>AVERAGEIF(TablaAudio[clase],"gris",TablaAudio[rms_std])</f>
        <v>4.748999451597527E-2</v>
      </c>
    </row>
    <row r="49" spans="1:4" x14ac:dyDescent="0.3">
      <c r="A49" s="11" t="s">
        <v>12</v>
      </c>
      <c r="B49" s="15">
        <f>AVERAGEIF(TablaAudio[clase],"ivr_limpio",TablaAudio[rms_mean])</f>
        <v>6.7007035017013494E-2</v>
      </c>
      <c r="C49" s="15">
        <f>AVERAGEIF(TablaAudio[clase],"ivr_limpio",TablaAudio[rango_dinamico])</f>
        <v>6.2407833834489168E-2</v>
      </c>
      <c r="D49" s="15">
        <f>AVERAGEIF(TablaAudio[clase],"ivr_limpio",TablaAudio[rms_std])</f>
        <v>4.2883263668045402E-3</v>
      </c>
    </row>
    <row r="50" spans="1:4" x14ac:dyDescent="0.3">
      <c r="A50" s="11" t="s">
        <v>14</v>
      </c>
      <c r="B50" s="15">
        <f>AVERAGEIF(TablaAudio[clase],"silencio_real",TablaAudio[rms_mean])</f>
        <v>0</v>
      </c>
      <c r="C50" s="15">
        <f>AVERAGEIF(TablaAudio[clase],"silencio_real",TablaAudio[rango_dinamico])</f>
        <v>0</v>
      </c>
      <c r="D50" s="15">
        <f>AVERAGEIF(TablaAudio[clase],"silencio_real",TablaAudio[rms_std])</f>
        <v>0</v>
      </c>
    </row>
    <row r="51" spans="1:4" x14ac:dyDescent="0.3">
      <c r="A51" s="11" t="s">
        <v>36</v>
      </c>
      <c r="B51" s="15">
        <f>AVERAGEIF(TablaAudio[clase],"sospechoso",TablaAudio[rms_mean])</f>
        <v>0.1612900123000145</v>
      </c>
      <c r="C51" s="15">
        <f>AVERAGEIF(TablaAudio[clase],"sospechoso",TablaAudio[rango_dinamico])</f>
        <v>0.61168830096721649</v>
      </c>
      <c r="D51" s="15">
        <f>AVERAGEIF(TablaAudio[clase],"sospechoso",TablaAudio[rms_std])</f>
        <v>9.2889112730820941E-2</v>
      </c>
    </row>
    <row r="52" spans="1:4" x14ac:dyDescent="0.3">
      <c r="A52" s="11" t="s">
        <v>107</v>
      </c>
      <c r="B52" s="15">
        <f>AVERAGEIF(TablaAudio[clase],"vacio",TablaAudio[rms_mean])</f>
        <v>0</v>
      </c>
      <c r="C52" s="15">
        <f>AVERAGEIF(TablaAudio[clase],"vacio",TablaAudio[rango_dinamico])</f>
        <v>0</v>
      </c>
      <c r="D52" s="15">
        <f>AVERAGEIF(TablaAudio[clase],"vacio",TablaAudio[rms_std])</f>
        <v>0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reporte_audio5</vt:lpstr>
      <vt:lpstr>Análisis_Dinámico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</dc:creator>
  <cp:lastModifiedBy>WENDY MITZI GALICIA ORIHUELA</cp:lastModifiedBy>
  <dcterms:created xsi:type="dcterms:W3CDTF">2026-04-29T02:42:31Z</dcterms:created>
  <dcterms:modified xsi:type="dcterms:W3CDTF">2026-04-29T02:42:31Z</dcterms:modified>
</cp:coreProperties>
</file>