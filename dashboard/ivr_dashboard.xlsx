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hnny\Documents\CursoEXCEL\"/>
    </mc:Choice>
  </mc:AlternateContent>
  <xr:revisionPtr revIDLastSave="0" documentId="13_ncr:1_{77DDD044-05F7-4EF9-BE0D-184E1D547726}" xr6:coauthVersionLast="47" xr6:coauthVersionMax="47" xr10:uidLastSave="{00000000-0000-0000-0000-000000000000}"/>
  <bookViews>
    <workbookView xWindow="-108" yWindow="-108" windowWidth="23256" windowHeight="13896" activeTab="3" xr2:uid="{FBE51BDC-84F7-4CB3-B226-AB6A6A7A7364}"/>
  </bookViews>
  <sheets>
    <sheet name="reporte_audio" sheetId="2" r:id="rId1"/>
    <sheet name="Auditoria de Audio" sheetId="1" r:id="rId2"/>
    <sheet name="KPI Audio" sheetId="3" r:id="rId3"/>
    <sheet name="Dashboard" sheetId="4" r:id="rId4"/>
  </sheets>
  <definedNames>
    <definedName name="DatosExternos_1" localSheetId="0" hidden="1">'reporte_audio'!$A$1:$I$110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3" l="1" a="1"/>
  <c r="E11" i="3" s="1"/>
  <c r="F8" i="3"/>
  <c r="E8" i="3"/>
  <c r="C11" i="3"/>
  <c r="C10" i="3"/>
  <c r="C9" i="3"/>
  <c r="C8" i="3"/>
  <c r="C7" i="3"/>
  <c r="G4" i="3"/>
  <c r="E4" i="3"/>
  <c r="C4" i="3"/>
  <c r="A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613B22-A26D-43EE-9753-5C40EEBE60C0}" keepAlive="1" name="Consulta - reporte_audio" description="Conexión a la consulta 'reporte_audio' en el libro." type="5" refreshedVersion="8" background="1" saveData="1">
    <dbPr connection="Provider=Microsoft.Mashup.OleDb.1;Data Source=$Workbook$;Location=reporte_audio;Extended Properties=&quot;&quot;" command="SELECT * FROM [reporte_audi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<sst xmlns="http://schemas.openxmlformats.org/spreadsheetml/2006/main" count="291" uniqueCount="136">
  <si>
    <t>archivo</t>
  </si>
  <si>
    <t>duracion_total</t>
  </si>
  <si>
    <t>audio_util</t>
  </si>
  <si>
    <t>porcentaje_audio</t>
  </si>
  <si>
    <t>num_frases</t>
  </si>
  <si>
    <t>rms_mean</t>
  </si>
  <si>
    <t>rms_std</t>
  </si>
  <si>
    <t>rango_dinamico</t>
  </si>
  <si>
    <t>clase</t>
  </si>
  <si>
    <t>104_12_18_2024_CNOCgrabacion3_d.wav</t>
  </si>
  <si>
    <t>ivr_limpio</t>
  </si>
  <si>
    <t>11_4_18_2026_Banamex_grabacion_0.wav</t>
  </si>
  <si>
    <t>silencio_real</t>
  </si>
  <si>
    <t>11_4_18_2026_Banamex_grabacion_1.wav</t>
  </si>
  <si>
    <t>11_4_20_2026_Banamex_grabacion_0.wav</t>
  </si>
  <si>
    <t>11_4_21_2026_Banamex_grabacion_0.wav</t>
  </si>
  <si>
    <t>11_4_21_2026_Banamex_grabacion_1.wav</t>
  </si>
  <si>
    <t>11_4_21_2026_Banamex_grabacion_2.wav</t>
  </si>
  <si>
    <t>123_12_18_2024_CNOCgrabacion3_d.wav</t>
  </si>
  <si>
    <t>gris</t>
  </si>
  <si>
    <t>13_4_23_2026_BBVAgrabacion_0.wav</t>
  </si>
  <si>
    <t>14_4_23_2026_BBVAgrabacion_0.wav</t>
  </si>
  <si>
    <t>161_12_18_2024_CNOCgrabacion3_d.wav</t>
  </si>
  <si>
    <t>18_4_22_2026_BBVAgrabacion_0.wav</t>
  </si>
  <si>
    <t>1_2_13_2025_BBVAgrabacion3.wav</t>
  </si>
  <si>
    <t>sospechoso</t>
  </si>
  <si>
    <t>1_2_13_2025_CNOCgrabacion3.wav</t>
  </si>
  <si>
    <t>1_2_26_2025_BBVAgrabacion3.wav</t>
  </si>
  <si>
    <t>1_3_13_2026_Vidanta_grabacion3.wav</t>
  </si>
  <si>
    <t>1_3_14_2026_Vidanta_grabacion3.wav</t>
  </si>
  <si>
    <t>1_3_22_2026_GNPgrabacion_0.wav</t>
  </si>
  <si>
    <t>1_3_23_2026_GNPgrabacion_0.wav</t>
  </si>
  <si>
    <t>1_3_24_2026_GNPgrabacion_0.wav</t>
  </si>
  <si>
    <t>1_3_25_2026_GNPgrabacion_0.wav</t>
  </si>
  <si>
    <t>1_3_26_2026_GNPgrabacion_0.wav</t>
  </si>
  <si>
    <t>1_3_27_2026_GNPgrabacion_0.wav</t>
  </si>
  <si>
    <t>1_3_28_2026_GNPgrabacion_0.wav</t>
  </si>
  <si>
    <t>1_3_28_2026_GNPgrabacion_1.wav</t>
  </si>
  <si>
    <t>1_3_29_2026_GNPgrabacion_0.wav</t>
  </si>
  <si>
    <t>1_3_30_2026_GNPgrabacion_0.wav</t>
  </si>
  <si>
    <t>1_3_31_2026_GNPgrabacion_0.wav</t>
  </si>
  <si>
    <t>1_4_10_2026_GNPgrabacion_0.wav</t>
  </si>
  <si>
    <t>1_4_11_2026_GNPgrabacion_0.wav</t>
  </si>
  <si>
    <t>1_4_11_2026_Vidanta_grabacion_0.wav</t>
  </si>
  <si>
    <t>vacio</t>
  </si>
  <si>
    <t>1_4_11_2026_Vidanta_grabacion_1.wav</t>
  </si>
  <si>
    <t>1_4_12_2026_BBVAgrabacion_0.wav</t>
  </si>
  <si>
    <t>1_4_12_2026_GNPgrabacion_0.wav</t>
  </si>
  <si>
    <t>1_4_12_2026_Vidanta_grabacion_0.wav</t>
  </si>
  <si>
    <t>1_4_13_2026_BBVAgrabacion_0.wav</t>
  </si>
  <si>
    <t>1_4_13_2026_GNPgrabacion_0.wav</t>
  </si>
  <si>
    <t>1_4_13_2026_Vidanta_grabacion_0.wav</t>
  </si>
  <si>
    <t>1_4_14_2026_BBVAgrabacion_0.wav</t>
  </si>
  <si>
    <t>1_4_14_2026_GNPgrabacion_0.wav</t>
  </si>
  <si>
    <t>1_4_14_2026_Vidanta_grabacion_0.wav</t>
  </si>
  <si>
    <t>1_4_15_2026_BBVAgrabacion_0.wav</t>
  </si>
  <si>
    <t>1_4_1_2026_GNPgrabacion_0.wav</t>
  </si>
  <si>
    <t>1_4_22_2026_Banamex_grabacion_0.wav</t>
  </si>
  <si>
    <t>1_4_2_2026_GNPgrabacion_0.wav</t>
  </si>
  <si>
    <t>1_4_3_2026_GNPgrabacion_0.wav</t>
  </si>
  <si>
    <t>1_4_3_2026_GNPgrabacion_1.wav</t>
  </si>
  <si>
    <t>1_4_4_2026_GNPgrabacion_0.wav</t>
  </si>
  <si>
    <t>1_4_5_2026_GNPgrabacion_0.wav</t>
  </si>
  <si>
    <t>1_4_6_2026_GNPgrabacion_0.wav</t>
  </si>
  <si>
    <t>1_4_7_2026_GNPgrabacion_0.wav</t>
  </si>
  <si>
    <t>1_4_8_2026_GNPgrabacion_0.wav</t>
  </si>
  <si>
    <t>1_4_9_2026_GNPgrabacion_0.wav</t>
  </si>
  <si>
    <t>20_4_23_2026_BBVAgrabacion_0.wav</t>
  </si>
  <si>
    <t>22_4_23_2026_BBVAgrabacion_0.wav</t>
  </si>
  <si>
    <t>22_4_23_2026_BBVAgrabacion_1.wav</t>
  </si>
  <si>
    <t>2_11_28_2024_BBVAgrabacion3.wav</t>
  </si>
  <si>
    <t>2_11_29_2024_BBVAgrabacion3.wav</t>
  </si>
  <si>
    <t>2_11_30_2024_BBVAgrabacion3.wav</t>
  </si>
  <si>
    <t>2_12_2_2024_BBVAgrabacion3.wav</t>
  </si>
  <si>
    <t>2_12_3_2024_CNOCgrabacion3.wav</t>
  </si>
  <si>
    <t>2_3_28_2026_GNPgrabacion_0.wav</t>
  </si>
  <si>
    <t>2_3_29_2026_GNPgrabacion_0.wav</t>
  </si>
  <si>
    <t>2_3_30_2026_GNPgrabacion_0.wav</t>
  </si>
  <si>
    <t>2_3_31_2026_GNPgrabacion_0.wav</t>
  </si>
  <si>
    <t>2_4_13_2026_BBVAgrabacion_0.wav</t>
  </si>
  <si>
    <t>2_4_13_2026_Vidanta_grabacion_0.wav</t>
  </si>
  <si>
    <t>2_4_14_2026_BBVAgrabacion_0.wav</t>
  </si>
  <si>
    <t>2_4_15_2026_BBVAgrabacion_0.wav</t>
  </si>
  <si>
    <t>2_4_15_2026_BBVAgrabacion_1.wav</t>
  </si>
  <si>
    <t>2_4_1_2026_GNPgrabacion_0.wav</t>
  </si>
  <si>
    <t>2_4_21_2026_Banamex_grabacion_0.wav</t>
  </si>
  <si>
    <t>2_4_22_2026_BBVAgrabacion_0.wav</t>
  </si>
  <si>
    <t>2_4_2_2026_GNPgrabacion_0.wav</t>
  </si>
  <si>
    <t>2_4_3_2026_GNPgrabacion_0.wav</t>
  </si>
  <si>
    <t>2_4_4_2026_GNPgrabacion_0.wav</t>
  </si>
  <si>
    <t>2_4_5_2026_GNPgrabacion_0.wav</t>
  </si>
  <si>
    <t>31_4_23_2026_BBVAgrabacion_0.wav</t>
  </si>
  <si>
    <t>33_4_21_2026_BBVAgrabacion_0.wav</t>
  </si>
  <si>
    <t>35_4_21_2026_BBVAgrabacion_0.wav</t>
  </si>
  <si>
    <t>35_4_22_2026_BBVAgrabacion_0.wav</t>
  </si>
  <si>
    <t>36_4_23_2026_BBVAgrabacion_0.wav</t>
  </si>
  <si>
    <t>37_4_23_2026_BBVAgrabacion_0.wav</t>
  </si>
  <si>
    <t>38_4_22_2026_BBVAgrabacion_0.wav</t>
  </si>
  <si>
    <t>39_4_23_2026_BBVAgrabacion_0.wav</t>
  </si>
  <si>
    <t>3_4_18_2026_Banamex_grabacion_0.wav</t>
  </si>
  <si>
    <t>3_4_21_2026_Banamex_grabacion_0.wav</t>
  </si>
  <si>
    <t>3_4_22_2026_BBVAgrabacion_0.wav</t>
  </si>
  <si>
    <t>3_4_23_2026_BBVAgrabacion_0.wav</t>
  </si>
  <si>
    <t>3_4_24_2026_Banamex_grabacion_0.wav</t>
  </si>
  <si>
    <t>40_4_23_2026_BBVAgrabacion_0.wav</t>
  </si>
  <si>
    <t>45_2_13_2025_GNPgrabacion3.wav</t>
  </si>
  <si>
    <t>48_4_21_2026_BBVAgrabacion_0.wav</t>
  </si>
  <si>
    <t>48_4_22_2026_BBVAgrabacion_0.wav</t>
  </si>
  <si>
    <t>4_4_22_2026_BBVAgrabacion_0.wav</t>
  </si>
  <si>
    <t>55_4_21_2026_BBVAgrabacion_0.wav</t>
  </si>
  <si>
    <t>57_4_21_2026_BBVAgrabacion_0.wav</t>
  </si>
  <si>
    <t>57_4_21_2026_BBVAgrabacion_1.wav</t>
  </si>
  <si>
    <t>6_4_18_2026_Banamex_grabacion_0.wav</t>
  </si>
  <si>
    <t>6_4_18_2026_Banamex_grabacion_1.wav</t>
  </si>
  <si>
    <t>7_4_18_2026_Banamex_grabacion_0.wav</t>
  </si>
  <si>
    <t>7_4_20_2026_Banamex_grabacion_0.wav</t>
  </si>
  <si>
    <t>7_4_23_2026_BBVAgrabacion_0.wav</t>
  </si>
  <si>
    <t>8_4_21_2026_Banamex_grabacion_0.wav</t>
  </si>
  <si>
    <t>8_4_22_2026_BBVAgrabacion_0.wav</t>
  </si>
  <si>
    <t>8_4_23_2026_BBVAgrabacion_0.wav</t>
  </si>
  <si>
    <t>99_12_18_2024_CNOCgrabacion3_d.wav</t>
  </si>
  <si>
    <t>9_4_19_2026_Banamex_grabacion_0.wav</t>
  </si>
  <si>
    <t>9_4_20_2026_Banamex_grabacion_0.wav</t>
  </si>
  <si>
    <t>Etiquetas de fila</t>
  </si>
  <si>
    <t>Total general</t>
  </si>
  <si>
    <t>Cuenta de archivo</t>
  </si>
  <si>
    <t>Promedio de duracion_total</t>
  </si>
  <si>
    <t>Promedio de porcentaje_audio</t>
  </si>
  <si>
    <t>Promedio de num_frases</t>
  </si>
  <si>
    <t>Promedio de rms_mean</t>
  </si>
  <si>
    <t>Promedio de rango_dinamico</t>
  </si>
  <si>
    <t>Promedio de audio_util</t>
  </si>
  <si>
    <t>S</t>
  </si>
  <si>
    <t xml:space="preserve">Audios utiles </t>
  </si>
  <si>
    <t>Audios descartados</t>
  </si>
  <si>
    <t>Tasa de aprovechamiento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</si>
</sst>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3"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F172A"/>
      <color rgb="FF00E1FF"/>
      <color rgb="FFE2424A"/>
      <color rgb="FFFF862E"/>
      <color rgb="FF9646EF"/>
      <color rgb="FF43D1A7"/>
      <color rgb="FF5DD62C"/>
      <color rgb="FFF73463"/>
      <color rgb="FF2370A1"/>
      <color rgb="FF2226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'Auditoria de Audio'!$B$1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'Auditoria de Audio'!$A$2:$A$7</c:f>
              <c:strCache>
                <c:ptCount val="5"/>
                <c:pt idx="0">
                  <c:v>sospechoso</c:v>
                </c:pt>
                <c:pt idx="1">
                  <c:v>silencio_real</c:v>
                </c:pt>
                <c:pt idx="2">
                  <c:v>gris</c:v>
                </c:pt>
                <c:pt idx="3">
                  <c:v>vacio</c:v>
                </c:pt>
                <c:pt idx="4">
                  <c:v>ivr_limpio</c:v>
                </c:pt>
              </c:strCache>
            </c:strRef>
          </c:cat>
          <c:val>
            <c:numRef>
              <c:f>'Auditoria de Audio'!$B$2:$B$7</c:f>
              <c:numCache>
                <c:formatCode>General</c:formatCode>
                <c:ptCount val="5"/>
                <c:pt idx="0">
                  <c:v>37</c:v>
                </c:pt>
                <c:pt idx="1">
                  <c:v>36</c:v>
                </c:pt>
                <c:pt idx="2">
                  <c:v>17</c:v>
                </c:pt>
                <c:pt idx="3">
                  <c:v>15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0-4893-88B4-E43AB1CD8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2180576"/>
        <c:axId val="492177696"/>
      </c:barChart>
      <c:catAx>
        <c:axId val="49218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2177696"/>
        <c:crosses val="autoZero"/>
        <c:auto val="1"/>
        <c:lblAlgn val="ctr"/>
        <c:lblOffset val="100"/>
        <c:noMultiLvlLbl val="0"/>
      </c:catAx>
      <c:valAx>
        <c:axId val="49217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218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'Auditoria de Audio'!$B$17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'Auditoria de Audio'!$A$18:$A$23</c:f>
              <c:strCache>
                <c:ptCount val="5"/>
                <c:pt idx="0">
                  <c:v>sospechoso</c:v>
                </c:pt>
                <c:pt idx="1">
                  <c:v>gris</c:v>
                </c:pt>
                <c:pt idx="2">
                  <c:v>ivr_limpio</c:v>
                </c:pt>
                <c:pt idx="3">
                  <c:v>vacio</c:v>
                </c:pt>
                <c:pt idx="4">
                  <c:v>silencio_real</c:v>
                </c:pt>
              </c:strCache>
            </c:strRef>
          </c:cat>
          <c:val>
            <c:numRef>
              <c:f>'Auditoria de Audio'!$B$18:$B$23</c:f>
              <c:numCache>
                <c:formatCode>0.00</c:formatCode>
                <c:ptCount val="5"/>
                <c:pt idx="0">
                  <c:v>81.600000000000023</c:v>
                </c:pt>
                <c:pt idx="1">
                  <c:v>46.307973856209145</c:v>
                </c:pt>
                <c:pt idx="2">
                  <c:v>41.37777777777778</c:v>
                </c:pt>
                <c:pt idx="3">
                  <c:v>0.52622222222222215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F-4636-80B3-71EFDD773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728768"/>
        <c:axId val="1968731648"/>
      </c:barChart>
      <c:catAx>
        <c:axId val="196872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8731648"/>
        <c:crosses val="autoZero"/>
        <c:auto val="1"/>
        <c:lblAlgn val="ctr"/>
        <c:lblOffset val="100"/>
        <c:noMultiLvlLbl val="0"/>
      </c:catAx>
      <c:valAx>
        <c:axId val="196873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872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'Auditoria de Audio'!$B$25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'Auditoria de Audio'!$A$26:$A$31</c:f>
              <c:strCache>
                <c:ptCount val="5"/>
                <c:pt idx="0">
                  <c:v>sospechoso</c:v>
                </c:pt>
                <c:pt idx="1">
                  <c:v>gris</c:v>
                </c:pt>
                <c:pt idx="2">
                  <c:v>ivr_limpio</c:v>
                </c:pt>
                <c:pt idx="3">
                  <c:v>vacio</c:v>
                </c:pt>
                <c:pt idx="4">
                  <c:v>silencio_real</c:v>
                </c:pt>
              </c:strCache>
            </c:strRef>
          </c:cat>
          <c:val>
            <c:numRef>
              <c:f>'Auditoria de Audio'!$B$26:$B$31</c:f>
              <c:numCache>
                <c:formatCode>0.00</c:formatCode>
                <c:ptCount val="5"/>
                <c:pt idx="0">
                  <c:v>5.6216216216216219</c:v>
                </c:pt>
                <c:pt idx="1">
                  <c:v>3.5882352941176472</c:v>
                </c:pt>
                <c:pt idx="2">
                  <c:v>1.75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8-4D5E-90A7-24B956F03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768112"/>
        <c:axId val="744770032"/>
      </c:barChart>
      <c:catAx>
        <c:axId val="74476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4770032"/>
        <c:crosses val="autoZero"/>
        <c:auto val="1"/>
        <c:lblAlgn val="ctr"/>
        <c:lblOffset val="100"/>
        <c:noMultiLvlLbl val="0"/>
      </c:catAx>
      <c:valAx>
        <c:axId val="7447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476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Audio!TablaDinámica5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'Auditoria de Audio'!$H$1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'Auditoria de Audio'!$G$2:$G$7</c:f>
              <c:strCache>
                <c:ptCount val="5"/>
                <c:pt idx="0">
                  <c:v>sospechoso</c:v>
                </c:pt>
                <c:pt idx="1">
                  <c:v>gris</c:v>
                </c:pt>
                <c:pt idx="2">
                  <c:v>ivr_limpio</c:v>
                </c:pt>
                <c:pt idx="3">
                  <c:v>vacio</c:v>
                </c:pt>
                <c:pt idx="4">
                  <c:v>silencio_real</c:v>
                </c:pt>
              </c:strCache>
            </c:strRef>
          </c:cat>
          <c:val>
            <c:numRef>
              <c:f>'Auditoria de Audio'!$H$2:$H$7</c:f>
              <c:numCache>
                <c:formatCode>0.00</c:formatCode>
                <c:ptCount val="5"/>
                <c:pt idx="0">
                  <c:v>0.17140239678524635</c:v>
                </c:pt>
                <c:pt idx="1">
                  <c:v>0.11134674180956448</c:v>
                </c:pt>
                <c:pt idx="2">
                  <c:v>7.6771902851760387E-2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D-48C8-8412-BDF2AC749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301440"/>
        <c:axId val="1837301920"/>
      </c:lineChart>
      <c:catAx>
        <c:axId val="183730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7301920"/>
        <c:crosses val="autoZero"/>
        <c:auto val="1"/>
        <c:lblAlgn val="ctr"/>
        <c:lblOffset val="100"/>
        <c:noMultiLvlLbl val="0"/>
      </c:catAx>
      <c:valAx>
        <c:axId val="1837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730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Audio!TablaDinámica6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'Auditoria de Audio'!$H$9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'Auditoria de Audio'!$G$10:$G$15</c:f>
              <c:strCache>
                <c:ptCount val="5"/>
                <c:pt idx="0">
                  <c:v>sospechoso</c:v>
                </c:pt>
                <c:pt idx="1">
                  <c:v>gris</c:v>
                </c:pt>
                <c:pt idx="2">
                  <c:v>ivr_limpio</c:v>
                </c:pt>
                <c:pt idx="3">
                  <c:v>vacio</c:v>
                </c:pt>
                <c:pt idx="4">
                  <c:v>silencio_real</c:v>
                </c:pt>
              </c:strCache>
            </c:strRef>
          </c:cat>
          <c:val>
            <c:numRef>
              <c:f>'Auditoria de Audio'!$H$10:$H$15</c:f>
              <c:numCache>
                <c:formatCode>0.00</c:formatCode>
                <c:ptCount val="5"/>
                <c:pt idx="0">
                  <c:v>0.61870586549913564</c:v>
                </c:pt>
                <c:pt idx="1">
                  <c:v>0.22207194566726685</c:v>
                </c:pt>
                <c:pt idx="2">
                  <c:v>5.2599372342228889E-2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9-4116-9C0B-CFFE97CC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832592"/>
        <c:axId val="1837248432"/>
      </c:lineChart>
      <c:catAx>
        <c:axId val="74183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7248432"/>
        <c:crosses val="autoZero"/>
        <c:auto val="1"/>
        <c:lblAlgn val="ctr"/>
        <c:lblOffset val="100"/>
        <c:noMultiLvlLbl val="0"/>
      </c:catAx>
      <c:valAx>
        <c:axId val="183724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183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'Auditoria de Audio'!$B$9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'Auditoria de Audio'!$A$10:$A$15</c:f>
              <c:strCache>
                <c:ptCount val="5"/>
                <c:pt idx="0">
                  <c:v>ivr_limpio</c:v>
                </c:pt>
                <c:pt idx="1">
                  <c:v>gris</c:v>
                </c:pt>
                <c:pt idx="2">
                  <c:v>sospechoso</c:v>
                </c:pt>
                <c:pt idx="3">
                  <c:v>vacio</c:v>
                </c:pt>
                <c:pt idx="4">
                  <c:v>silencio_real</c:v>
                </c:pt>
              </c:strCache>
            </c:strRef>
          </c:cat>
          <c:val>
            <c:numRef>
              <c:f>'Auditoria de Audio'!$B$10:$B$15</c:f>
              <c:numCache>
                <c:formatCode>0.00</c:formatCode>
                <c:ptCount val="5"/>
                <c:pt idx="0">
                  <c:v>37.5</c:v>
                </c:pt>
                <c:pt idx="1">
                  <c:v>35.294117647058826</c:v>
                </c:pt>
                <c:pt idx="2">
                  <c:v>32.027027027027025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6-40AD-8130-EBAB45E7C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537536"/>
        <c:axId val="721538496"/>
      </c:barChart>
      <c:catAx>
        <c:axId val="7215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1538496"/>
        <c:crosses val="autoZero"/>
        <c:auto val="1"/>
        <c:lblAlgn val="ctr"/>
        <c:lblOffset val="100"/>
        <c:noMultiLvlLbl val="0"/>
      </c:catAx>
      <c:valAx>
        <c:axId val="72153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153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3D1A7"/>
          </a:solidFill>
          <a:ln>
            <a:noFill/>
          </a:ln>
          <a:effectLst/>
        </c:spPr>
      </c:pivotFmt>
      <c:pivotFmt>
        <c:idx val="4"/>
        <c:spPr>
          <a:solidFill>
            <a:srgbClr val="E2424A"/>
          </a:solidFill>
          <a:ln>
            <a:noFill/>
          </a:ln>
          <a:effectLst/>
        </c:spPr>
      </c:pivotFmt>
      <c:pivotFmt>
        <c:idx val="5"/>
        <c:spPr>
          <a:solidFill>
            <a:srgbClr val="9646EF"/>
          </a:solidFill>
          <a:ln>
            <a:noFill/>
          </a:ln>
          <a:effectLst/>
        </c:spPr>
      </c:pivotFmt>
      <c:pivotFmt>
        <c:idx val="6"/>
        <c:spPr>
          <a:solidFill>
            <a:srgbClr val="00E1FF"/>
          </a:solidFill>
          <a:ln>
            <a:noFill/>
          </a:ln>
          <a:effectLst/>
        </c:spPr>
      </c:pivotFmt>
      <c:pivotFmt>
        <c:idx val="7"/>
        <c:spPr>
          <a:solidFill>
            <a:srgbClr val="FF862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'Auditoria de Audio'!$B$1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86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64-43B9-A689-076DF1BCC383}"/>
              </c:ext>
            </c:extLst>
          </c:dPt>
          <c:dPt>
            <c:idx val="1"/>
            <c:invertIfNegative val="0"/>
            <c:bubble3D val="0"/>
            <c:spPr>
              <a:solidFill>
                <a:srgbClr val="00E1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464-43B9-A689-076DF1BCC383}"/>
              </c:ext>
            </c:extLst>
          </c:dPt>
          <c:dPt>
            <c:idx val="2"/>
            <c:invertIfNegative val="0"/>
            <c:bubble3D val="0"/>
            <c:spPr>
              <a:solidFill>
                <a:srgbClr val="9646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64-43B9-A689-076DF1BCC383}"/>
              </c:ext>
            </c:extLst>
          </c:dPt>
          <c:dPt>
            <c:idx val="3"/>
            <c:invertIfNegative val="0"/>
            <c:bubble3D val="0"/>
            <c:spPr>
              <a:solidFill>
                <a:srgbClr val="E242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464-43B9-A689-076DF1BCC383}"/>
              </c:ext>
            </c:extLst>
          </c:dPt>
          <c:dPt>
            <c:idx val="4"/>
            <c:invertIfNegative val="0"/>
            <c:bubble3D val="0"/>
            <c:spPr>
              <a:solidFill>
                <a:srgbClr val="43D1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64-43B9-A689-076DF1BCC3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'Auditoria de Audio'!$A$2:$A$7</c:f>
              <c:strCache>
                <c:ptCount val="5"/>
                <c:pt idx="0">
                  <c:v>sospechoso</c:v>
                </c:pt>
                <c:pt idx="1">
                  <c:v>silencio_real</c:v>
                </c:pt>
                <c:pt idx="2">
                  <c:v>gris</c:v>
                </c:pt>
                <c:pt idx="3">
                  <c:v>vacio</c:v>
                </c:pt>
                <c:pt idx="4">
                  <c:v>ivr_limpio</c:v>
                </c:pt>
              </c:strCache>
            </c:strRef>
          </c:cat>
          <c:val>
            <c:numRef>
              <c:f>'Auditoria de Audio'!$B$2:$B$7</c:f>
              <c:numCache>
                <c:formatCode>General</c:formatCode>
                <c:ptCount val="5"/>
                <c:pt idx="0">
                  <c:v>37</c:v>
                </c:pt>
                <c:pt idx="1">
                  <c:v>36</c:v>
                </c:pt>
                <c:pt idx="2">
                  <c:v>17</c:v>
                </c:pt>
                <c:pt idx="3">
                  <c:v>15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4-43B9-A689-076DF1BCC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92180576"/>
        <c:axId val="492177696"/>
      </c:barChart>
      <c:catAx>
        <c:axId val="49218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2177696"/>
        <c:crosses val="autoZero"/>
        <c:auto val="1"/>
        <c:lblAlgn val="ctr"/>
        <c:lblOffset val="100"/>
        <c:noMultiLvlLbl val="0"/>
      </c:catAx>
      <c:valAx>
        <c:axId val="49217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218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862E"/>
          </a:solidFill>
          <a:ln>
            <a:noFill/>
          </a:ln>
          <a:effectLst/>
        </c:spPr>
      </c:pivotFmt>
      <c:pivotFmt>
        <c:idx val="4"/>
        <c:spPr>
          <a:solidFill>
            <a:srgbClr val="9646EF"/>
          </a:solidFill>
          <a:ln>
            <a:noFill/>
          </a:ln>
          <a:effectLst/>
        </c:spPr>
      </c:pivotFmt>
      <c:pivotFmt>
        <c:idx val="5"/>
        <c:spPr>
          <a:solidFill>
            <a:srgbClr val="43D1A7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'Auditoria de Audio'!$B$17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86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73-42A9-A5A3-16AC00543A04}"/>
              </c:ext>
            </c:extLst>
          </c:dPt>
          <c:dPt>
            <c:idx val="1"/>
            <c:invertIfNegative val="0"/>
            <c:bubble3D val="0"/>
            <c:spPr>
              <a:solidFill>
                <a:srgbClr val="9646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773-42A9-A5A3-16AC00543A04}"/>
              </c:ext>
            </c:extLst>
          </c:dPt>
          <c:dPt>
            <c:idx val="2"/>
            <c:invertIfNegative val="0"/>
            <c:bubble3D val="0"/>
            <c:spPr>
              <a:solidFill>
                <a:srgbClr val="43D1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73-42A9-A5A3-16AC00543A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'Auditoria de Audio'!$A$18:$A$23</c:f>
              <c:strCache>
                <c:ptCount val="5"/>
                <c:pt idx="0">
                  <c:v>sospechoso</c:v>
                </c:pt>
                <c:pt idx="1">
                  <c:v>gris</c:v>
                </c:pt>
                <c:pt idx="2">
                  <c:v>ivr_limpio</c:v>
                </c:pt>
                <c:pt idx="3">
                  <c:v>vacio</c:v>
                </c:pt>
                <c:pt idx="4">
                  <c:v>silencio_real</c:v>
                </c:pt>
              </c:strCache>
            </c:strRef>
          </c:cat>
          <c:val>
            <c:numRef>
              <c:f>'Auditoria de Audio'!$B$18:$B$23</c:f>
              <c:numCache>
                <c:formatCode>0.00</c:formatCode>
                <c:ptCount val="5"/>
                <c:pt idx="0">
                  <c:v>81.600000000000023</c:v>
                </c:pt>
                <c:pt idx="1">
                  <c:v>46.307973856209145</c:v>
                </c:pt>
                <c:pt idx="2">
                  <c:v>41.37777777777778</c:v>
                </c:pt>
                <c:pt idx="3">
                  <c:v>0.52622222222222215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3-42A9-A5A3-16AC00543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68728768"/>
        <c:axId val="1968731648"/>
      </c:barChart>
      <c:catAx>
        <c:axId val="196872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8731648"/>
        <c:crosses val="autoZero"/>
        <c:auto val="1"/>
        <c:lblAlgn val="ctr"/>
        <c:lblOffset val="100"/>
        <c:noMultiLvlLbl val="0"/>
      </c:catAx>
      <c:valAx>
        <c:axId val="1968731648"/>
        <c:scaling>
          <c:orientation val="minMax"/>
          <c:max val="9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872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862E"/>
          </a:solidFill>
          <a:ln>
            <a:noFill/>
          </a:ln>
          <a:effectLst/>
        </c:spPr>
      </c:pivotFmt>
      <c:pivotFmt>
        <c:idx val="4"/>
        <c:spPr>
          <a:solidFill>
            <a:srgbClr val="9646EF"/>
          </a:solidFill>
          <a:ln>
            <a:noFill/>
          </a:ln>
          <a:effectLst/>
        </c:spPr>
      </c:pivotFmt>
      <c:pivotFmt>
        <c:idx val="5"/>
        <c:spPr>
          <a:solidFill>
            <a:srgbClr val="43D1A7"/>
          </a:solidFill>
          <a:ln>
            <a:noFill/>
          </a:ln>
          <a:effectLst/>
        </c:spPr>
      </c:pivotFmt>
      <c:pivotFmt>
        <c:idx val="6"/>
        <c:spPr>
          <a:solidFill>
            <a:srgbClr val="F7346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'Auditoria de Audio'!$B$25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86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0C-41F0-9D60-827FDDEF6051}"/>
              </c:ext>
            </c:extLst>
          </c:dPt>
          <c:dPt>
            <c:idx val="1"/>
            <c:invertIfNegative val="0"/>
            <c:bubble3D val="0"/>
            <c:spPr>
              <a:solidFill>
                <a:srgbClr val="9646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30C-41F0-9D60-827FDDEF6051}"/>
              </c:ext>
            </c:extLst>
          </c:dPt>
          <c:dPt>
            <c:idx val="2"/>
            <c:invertIfNegative val="0"/>
            <c:bubble3D val="0"/>
            <c:spPr>
              <a:solidFill>
                <a:srgbClr val="43D1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0C-41F0-9D60-827FDDEF6051}"/>
              </c:ext>
            </c:extLst>
          </c:dPt>
          <c:dPt>
            <c:idx val="3"/>
            <c:invertIfNegative val="0"/>
            <c:bubble3D val="0"/>
            <c:spPr>
              <a:solidFill>
                <a:srgbClr val="F7346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30C-41F0-9D60-827FDDEF60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'Auditoria de Audio'!$A$26:$A$31</c:f>
              <c:strCache>
                <c:ptCount val="5"/>
                <c:pt idx="0">
                  <c:v>sospechoso</c:v>
                </c:pt>
                <c:pt idx="1">
                  <c:v>gris</c:v>
                </c:pt>
                <c:pt idx="2">
                  <c:v>ivr_limpio</c:v>
                </c:pt>
                <c:pt idx="3">
                  <c:v>vacio</c:v>
                </c:pt>
                <c:pt idx="4">
                  <c:v>silencio_real</c:v>
                </c:pt>
              </c:strCache>
            </c:strRef>
          </c:cat>
          <c:val>
            <c:numRef>
              <c:f>'Auditoria de Audio'!$B$26:$B$31</c:f>
              <c:numCache>
                <c:formatCode>0.00</c:formatCode>
                <c:ptCount val="5"/>
                <c:pt idx="0">
                  <c:v>5.6216216216216219</c:v>
                </c:pt>
                <c:pt idx="1">
                  <c:v>3.5882352941176472</c:v>
                </c:pt>
                <c:pt idx="2">
                  <c:v>1.75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C-41F0-9D60-827FDDEF6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44768112"/>
        <c:axId val="744770032"/>
      </c:barChart>
      <c:catAx>
        <c:axId val="74476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4770032"/>
        <c:crosses val="autoZero"/>
        <c:auto val="1"/>
        <c:lblAlgn val="ctr"/>
        <c:lblOffset val="100"/>
        <c:noMultiLvlLbl val="0"/>
      </c:catAx>
      <c:valAx>
        <c:axId val="74477003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476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rgbClr val="5DD62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40000"/>
                <a:lumOff val="60000"/>
              </a:schemeClr>
            </a:solidFill>
            <a:ln w="15875">
              <a:solidFill>
                <a:schemeClr val="bg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rgbClr val="5DD62C"/>
            </a:solidFill>
            <a:round/>
          </a:ln>
          <a:effectLst/>
        </c:spPr>
        <c:marker>
          <c:symbol val="circle"/>
          <c:size val="5"/>
          <c:spPr>
            <a:solidFill>
              <a:srgbClr val="5DD62C"/>
            </a:solidFill>
            <a:ln w="15875">
              <a:solidFill>
                <a:schemeClr val="bg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'Auditoria de Audio'!$H$1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5DD62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15875">
                <a:solidFill>
                  <a:schemeClr val="bg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5DD62C"/>
                </a:solidFill>
                <a:ln w="15875">
                  <a:solidFill>
                    <a:schemeClr val="bg1"/>
                  </a:solidFill>
                </a:ln>
                <a:effectLst/>
              </c:spPr>
            </c:marker>
            <c:bubble3D val="0"/>
            <c:spPr>
              <a:ln w="34925" cap="rnd">
                <a:solidFill>
                  <a:srgbClr val="5DD62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15-403C-9960-EE14FE692277}"/>
              </c:ext>
            </c:extLst>
          </c:dPt>
          <c:cat>
            <c:strRef>
              <c:f>'Auditoria de Audio'!$G$2:$G$7</c:f>
              <c:strCache>
                <c:ptCount val="5"/>
                <c:pt idx="0">
                  <c:v>sospechoso</c:v>
                </c:pt>
                <c:pt idx="1">
                  <c:v>gris</c:v>
                </c:pt>
                <c:pt idx="2">
                  <c:v>ivr_limpio</c:v>
                </c:pt>
                <c:pt idx="3">
                  <c:v>vacio</c:v>
                </c:pt>
                <c:pt idx="4">
                  <c:v>silencio_real</c:v>
                </c:pt>
              </c:strCache>
            </c:strRef>
          </c:cat>
          <c:val>
            <c:numRef>
              <c:f>'Auditoria de Audio'!$H$2:$H$7</c:f>
              <c:numCache>
                <c:formatCode>0.00</c:formatCode>
                <c:ptCount val="5"/>
                <c:pt idx="0">
                  <c:v>0.17140239678524635</c:v>
                </c:pt>
                <c:pt idx="1">
                  <c:v>0.11134674180956448</c:v>
                </c:pt>
                <c:pt idx="2">
                  <c:v>7.6771902851760387E-2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5-403C-9960-EE14FE692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301440"/>
        <c:axId val="1837301920"/>
      </c:lineChart>
      <c:catAx>
        <c:axId val="183730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7301920"/>
        <c:crosses val="autoZero"/>
        <c:auto val="1"/>
        <c:lblAlgn val="ctr"/>
        <c:lblOffset val="100"/>
        <c:noMultiLvlLbl val="0"/>
      </c:catAx>
      <c:valAx>
        <c:axId val="183730192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730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rgbClr val="5DD62C"/>
            </a:solidFill>
            <a:round/>
          </a:ln>
          <a:effectLst/>
        </c:spPr>
        <c:marker>
          <c:symbol val="circle"/>
          <c:size val="5"/>
          <c:spPr>
            <a:solidFill>
              <a:srgbClr val="5DD62C"/>
            </a:solidFill>
            <a:ln w="15875">
              <a:solidFill>
                <a:schemeClr val="bg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'Auditoria de Audio'!$H$9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5DD62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DD62C"/>
              </a:solidFill>
              <a:ln w="15875">
                <a:solidFill>
                  <a:schemeClr val="bg1"/>
                </a:solidFill>
              </a:ln>
              <a:effectLst/>
            </c:spPr>
          </c:marker>
          <c:cat>
            <c:strRef>
              <c:f>'Auditoria de Audio'!$G$10:$G$15</c:f>
              <c:strCache>
                <c:ptCount val="5"/>
                <c:pt idx="0">
                  <c:v>sospechoso</c:v>
                </c:pt>
                <c:pt idx="1">
                  <c:v>gris</c:v>
                </c:pt>
                <c:pt idx="2">
                  <c:v>ivr_limpio</c:v>
                </c:pt>
                <c:pt idx="3">
                  <c:v>vacio</c:v>
                </c:pt>
                <c:pt idx="4">
                  <c:v>silencio_real</c:v>
                </c:pt>
              </c:strCache>
            </c:strRef>
          </c:cat>
          <c:val>
            <c:numRef>
              <c:f>'Auditoria de Audio'!$H$10:$H$15</c:f>
              <c:numCache>
                <c:formatCode>0.00</c:formatCode>
                <c:ptCount val="5"/>
                <c:pt idx="0">
                  <c:v>0.61870586549913564</c:v>
                </c:pt>
                <c:pt idx="1">
                  <c:v>0.22207194566726685</c:v>
                </c:pt>
                <c:pt idx="2">
                  <c:v>5.2599372342228889E-2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7A-44F1-94D7-59C9F425E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832592"/>
        <c:axId val="1837248432"/>
      </c:lineChart>
      <c:catAx>
        <c:axId val="74183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7248432"/>
        <c:crosses val="autoZero"/>
        <c:auto val="1"/>
        <c:lblAlgn val="ctr"/>
        <c:lblOffset val="100"/>
        <c:noMultiLvlLbl val="0"/>
      </c:catAx>
      <c:valAx>
        <c:axId val="183724843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183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1tabla.xlsx]Auditoria de Audio!TablaDinámica2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3D1A7"/>
          </a:solidFill>
          <a:ln>
            <a:noFill/>
          </a:ln>
          <a:effectLst/>
        </c:spPr>
      </c:pivotFmt>
      <c:pivotFmt>
        <c:idx val="4"/>
        <c:spPr>
          <a:solidFill>
            <a:srgbClr val="9646EF"/>
          </a:solidFill>
          <a:ln>
            <a:noFill/>
          </a:ln>
          <a:effectLst/>
        </c:spPr>
      </c:pivotFmt>
      <c:pivotFmt>
        <c:idx val="5"/>
        <c:spPr>
          <a:solidFill>
            <a:srgbClr val="FF862E"/>
          </a:solidFill>
          <a:ln>
            <a:noFill/>
          </a:ln>
          <a:effectLst/>
        </c:spPr>
      </c:pivotFmt>
      <c:pivotFmt>
        <c:idx val="6"/>
        <c:spPr>
          <a:solidFill>
            <a:srgbClr val="E2424A"/>
          </a:solidFill>
          <a:ln>
            <a:noFill/>
          </a:ln>
          <a:effectLst/>
        </c:spPr>
      </c:pivotFmt>
      <c:pivotFmt>
        <c:idx val="7"/>
        <c:spPr>
          <a:solidFill>
            <a:srgbClr val="00E1F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'Auditoria de Audio'!$B$9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3D1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2E-43BC-8B93-134684125DFF}"/>
              </c:ext>
            </c:extLst>
          </c:dPt>
          <c:dPt>
            <c:idx val="1"/>
            <c:invertIfNegative val="0"/>
            <c:bubble3D val="0"/>
            <c:spPr>
              <a:solidFill>
                <a:srgbClr val="9646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D2E-43BC-8B93-134684125DFF}"/>
              </c:ext>
            </c:extLst>
          </c:dPt>
          <c:dPt>
            <c:idx val="2"/>
            <c:invertIfNegative val="0"/>
            <c:bubble3D val="0"/>
            <c:spPr>
              <a:solidFill>
                <a:srgbClr val="FF86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2E-43BC-8B93-134684125DFF}"/>
              </c:ext>
            </c:extLst>
          </c:dPt>
          <c:dPt>
            <c:idx val="3"/>
            <c:invertIfNegative val="0"/>
            <c:bubble3D val="0"/>
            <c:spPr>
              <a:solidFill>
                <a:srgbClr val="E242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D2E-43BC-8B93-134684125DFF}"/>
              </c:ext>
            </c:extLst>
          </c:dPt>
          <c:dPt>
            <c:idx val="4"/>
            <c:invertIfNegative val="0"/>
            <c:bubble3D val="0"/>
            <c:spPr>
              <a:solidFill>
                <a:srgbClr val="00E1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2E-43BC-8B93-134684125D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'Auditoria de Audio'!$A$10:$A$15</c:f>
              <c:strCache>
                <c:ptCount val="5"/>
                <c:pt idx="0">
                  <c:v>ivr_limpio</c:v>
                </c:pt>
                <c:pt idx="1">
                  <c:v>gris</c:v>
                </c:pt>
                <c:pt idx="2">
                  <c:v>sospechoso</c:v>
                </c:pt>
                <c:pt idx="3">
                  <c:v>vacio</c:v>
                </c:pt>
                <c:pt idx="4">
                  <c:v>silencio_real</c:v>
                </c:pt>
              </c:strCache>
            </c:strRef>
          </c:cat>
          <c:val>
            <c:numRef>
              <c:f>'Auditoria de Audio'!$B$10:$B$15</c:f>
              <c:numCache>
                <c:formatCode>0.00</c:formatCode>
                <c:ptCount val="5"/>
                <c:pt idx="0">
                  <c:v>37.5</c:v>
                </c:pt>
                <c:pt idx="1">
                  <c:v>35.294117647058826</c:v>
                </c:pt>
                <c:pt idx="2">
                  <c:v>32.027027027027025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E-43BC-8B93-134684125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537536"/>
        <c:axId val="721538496"/>
      </c:barChart>
      <c:catAx>
        <c:axId val="7215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1538496"/>
        <c:crosses val="autoZero"/>
        <c:auto val="1"/>
        <c:lblAlgn val="ctr"/>
        <c:lblOffset val="100"/>
        <c:noMultiLvlLbl val="0"/>
      </c:catAx>
      <c:valAx>
        <c:axId val="72153849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153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0</xdr:row>
      <xdr:rowOff>64770</xdr:rowOff>
    </xdr:from>
    <xdr:to>
      <xdr:col>5</xdr:col>
      <xdr:colOff>426720</xdr:colOff>
      <xdr:row>15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75034E-1199-731D-0751-9CE97283A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30</xdr:row>
      <xdr:rowOff>163830</xdr:rowOff>
    </xdr:from>
    <xdr:to>
      <xdr:col>5</xdr:col>
      <xdr:colOff>441960</xdr:colOff>
      <xdr:row>45</xdr:row>
      <xdr:rowOff>163830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180EA4-0398-50FD-49E6-CDDA1AF4B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99060</xdr:colOff>
      <xdr:row>46</xdr:row>
      <xdr:rowOff>41910</xdr:rowOff>
    </xdr:from>
    <xdr:to>
      <xdr:col>5</xdr:col>
      <xdr:colOff>464820</xdr:colOff>
      <xdr:row>61</xdr:row>
      <xdr:rowOff>41910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F9EA518-2AE5-AB3F-9D1A-47A3ACB83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60960</xdr:colOff>
      <xdr:row>0</xdr:row>
      <xdr:rowOff>11430</xdr:rowOff>
    </xdr:from>
    <xdr:to>
      <xdr:col>12</xdr:col>
      <xdr:colOff>434340</xdr:colOff>
      <xdr:row>15</xdr:row>
      <xdr:rowOff>11430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E1830CE-A776-0CB9-2242-41529FA73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38100</xdr:colOff>
      <xdr:row>15</xdr:row>
      <xdr:rowOff>72390</xdr:rowOff>
    </xdr:from>
    <xdr:to>
      <xdr:col>12</xdr:col>
      <xdr:colOff>411480</xdr:colOff>
      <xdr:row>30</xdr:row>
      <xdr:rowOff>72390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B922FE5-C099-2FA0-7BDA-29A83BA19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60960</xdr:colOff>
      <xdr:row>15</xdr:row>
      <xdr:rowOff>102870</xdr:rowOff>
    </xdr:from>
    <xdr:to>
      <xdr:col>5</xdr:col>
      <xdr:colOff>426720</xdr:colOff>
      <xdr:row>30</xdr:row>
      <xdr:rowOff>102870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C14FC4A-9680-9BF7-DB91-C0DDE3226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16</xdr:col>
      <xdr:colOff>428625</xdr:colOff>
      <xdr:row>36</xdr:row>
      <xdr:rowOff>167640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483F383-91EF-E3DA-F028-3C2A3C3B953E}"/>
            </a:ext>
          </a:extLst>
        </xdr:cNvPr>
        <xdr:cNvSpPr/>
      </xdr:nvSpPr>
      <xdr:spPr>
        <a:xfrm>
          <a:off x="0" y="7620"/>
          <a:ext cx="13077825" cy="6675120"/>
        </a:xfrm>
        <a:prstGeom prst="rect">
          <a:avLst/>
        </a:prstGeom>
        <a:solidFill>
          <a:srgbClr val="0F172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91440</xdr:colOff>
      <xdr:row>1</xdr:row>
      <xdr:rowOff>0</xdr:rowOff>
    </xdr:from>
    <xdr:to>
      <xdr:col>2</xdr:col>
      <xdr:colOff>563880</xdr:colOff>
      <xdr:row>6</xdr:row>
      <xdr:rowOff>15240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ACB7B786-AD4C-045B-6212-3DF3C256CE33}"/>
            </a:ext>
          </a:extLst>
        </xdr:cNvPr>
        <xdr:cNvGrpSpPr/>
      </xdr:nvGrpSpPr>
      <xdr:grpSpPr>
        <a:xfrm>
          <a:off x="91440" y="181429"/>
          <a:ext cx="2054497" cy="922382"/>
          <a:chOff x="91440" y="182880"/>
          <a:chExt cx="2057400" cy="929640"/>
        </a:xfrm>
      </xdr:grpSpPr>
      <xdr:sp macro="" textlink="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98CFB788-5867-6696-EDF3-199211893FB2}"/>
              </a:ext>
            </a:extLst>
          </xdr:cNvPr>
          <xdr:cNvSpPr/>
        </xdr:nvSpPr>
        <xdr:spPr>
          <a:xfrm>
            <a:off x="91440" y="182880"/>
            <a:ext cx="2057400" cy="929640"/>
          </a:xfrm>
          <a:prstGeom prst="roundRect">
            <a:avLst>
              <a:gd name="adj" fmla="val 10556"/>
            </a:avLst>
          </a:prstGeom>
          <a:solidFill>
            <a:srgbClr val="2226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EC002434-9780-63FD-4546-56A8CCCE83CE}"/>
              </a:ext>
            </a:extLst>
          </xdr:cNvPr>
          <xdr:cNvSpPr/>
        </xdr:nvSpPr>
        <xdr:spPr>
          <a:xfrm>
            <a:off x="220980" y="243840"/>
            <a:ext cx="1744980" cy="3505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>
                <a:solidFill>
                  <a:schemeClr val="bg1"/>
                </a:solidFill>
              </a:rPr>
              <a:t>Audios procesados</a:t>
            </a:r>
          </a:p>
          <a:p>
            <a:pPr algn="ctr"/>
            <a:endParaRPr lang="es-MX" sz="1600">
              <a:solidFill>
                <a:schemeClr val="bg1"/>
              </a:solidFill>
            </a:endParaRPr>
          </a:p>
        </xdr:txBody>
      </xdr:sp>
      <xdr:sp macro="" textlink="'KPI Audio'!A4">
        <xdr:nvSpPr>
          <xdr:cNvPr id="5" name="Rectángulo 4">
            <a:extLst>
              <a:ext uri="{FF2B5EF4-FFF2-40B4-BE49-F238E27FC236}">
                <a16:creationId xmlns:a16="http://schemas.microsoft.com/office/drawing/2014/main" id="{471694C7-396E-9F33-ABA5-8B052FC2DF06}"/>
              </a:ext>
            </a:extLst>
          </xdr:cNvPr>
          <xdr:cNvSpPr/>
        </xdr:nvSpPr>
        <xdr:spPr>
          <a:xfrm>
            <a:off x="434340" y="655320"/>
            <a:ext cx="1318260" cy="36576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66BB7917-592B-4AE4-8845-90367A02BBCA}" type="TxLink">
              <a:rPr lang="en-US" sz="1800" b="0" i="0" u="none" strike="noStrike">
                <a:solidFill>
                  <a:srgbClr val="5DD62C"/>
                </a:solidFill>
                <a:latin typeface="Amasis MT Pro Black" panose="02040A04050005020304" pitchFamily="18" charset="0"/>
              </a:rPr>
              <a:pPr algn="ctr"/>
              <a:t>109</a:t>
            </a:fld>
            <a:endParaRPr lang="es-MX" sz="1800">
              <a:solidFill>
                <a:srgbClr val="5DD62C"/>
              </a:solidFill>
              <a:latin typeface="Amasis MT Pro Black" panose="02040A04050005020304" pitchFamily="18" charset="0"/>
            </a:endParaRPr>
          </a:p>
        </xdr:txBody>
      </xdr:sp>
    </xdr:grpSp>
    <xdr:clientData/>
  </xdr:twoCellAnchor>
  <xdr:twoCellAnchor>
    <xdr:from>
      <xdr:col>2</xdr:col>
      <xdr:colOff>678180</xdr:colOff>
      <xdr:row>1</xdr:row>
      <xdr:rowOff>0</xdr:rowOff>
    </xdr:from>
    <xdr:to>
      <xdr:col>5</xdr:col>
      <xdr:colOff>358140</xdr:colOff>
      <xdr:row>6</xdr:row>
      <xdr:rowOff>15240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F32D4962-CD47-AED8-0FFD-A03A66BDCBA5}"/>
            </a:ext>
          </a:extLst>
        </xdr:cNvPr>
        <xdr:cNvGrpSpPr/>
      </xdr:nvGrpSpPr>
      <xdr:grpSpPr>
        <a:xfrm>
          <a:off x="2260237" y="181429"/>
          <a:ext cx="2053046" cy="922382"/>
          <a:chOff x="2263140" y="182880"/>
          <a:chExt cx="2057400" cy="929640"/>
        </a:xfrm>
      </xdr:grpSpPr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4753376C-2E51-48D5-9787-58B65C6376ED}"/>
              </a:ext>
            </a:extLst>
          </xdr:cNvPr>
          <xdr:cNvSpPr/>
        </xdr:nvSpPr>
        <xdr:spPr>
          <a:xfrm>
            <a:off x="2263140" y="182880"/>
            <a:ext cx="2057400" cy="929640"/>
          </a:xfrm>
          <a:prstGeom prst="roundRect">
            <a:avLst>
              <a:gd name="adj" fmla="val 10556"/>
            </a:avLst>
          </a:prstGeom>
          <a:solidFill>
            <a:srgbClr val="2226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F3E612D8-8585-4041-92EB-E758FB04229B}"/>
              </a:ext>
            </a:extLst>
          </xdr:cNvPr>
          <xdr:cNvSpPr/>
        </xdr:nvSpPr>
        <xdr:spPr>
          <a:xfrm>
            <a:off x="2286000" y="243840"/>
            <a:ext cx="1988820" cy="3505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>
                <a:solidFill>
                  <a:schemeClr val="bg1"/>
                </a:solidFill>
              </a:rPr>
              <a:t>Promedio</a:t>
            </a:r>
            <a:r>
              <a:rPr lang="es-MX" sz="1600" baseline="0">
                <a:solidFill>
                  <a:schemeClr val="bg1"/>
                </a:solidFill>
              </a:rPr>
              <a:t> de duración</a:t>
            </a:r>
            <a:endParaRPr lang="es-MX" sz="1600">
              <a:solidFill>
                <a:schemeClr val="bg1"/>
              </a:solidFill>
            </a:endParaRPr>
          </a:p>
          <a:p>
            <a:pPr algn="ctr"/>
            <a:endParaRPr lang="es-MX" sz="1600">
              <a:solidFill>
                <a:schemeClr val="bg1"/>
              </a:solidFill>
            </a:endParaRPr>
          </a:p>
        </xdr:txBody>
      </xdr:sp>
      <xdr:sp macro="" textlink="'KPI Audio'!C4">
        <xdr:nvSpPr>
          <xdr:cNvPr id="8" name="Rectángulo 7">
            <a:extLst>
              <a:ext uri="{FF2B5EF4-FFF2-40B4-BE49-F238E27FC236}">
                <a16:creationId xmlns:a16="http://schemas.microsoft.com/office/drawing/2014/main" id="{547CAF39-91D2-4E07-A90C-EFD5AB98EDC4}"/>
              </a:ext>
            </a:extLst>
          </xdr:cNvPr>
          <xdr:cNvSpPr/>
        </xdr:nvSpPr>
        <xdr:spPr>
          <a:xfrm>
            <a:off x="2606040" y="655320"/>
            <a:ext cx="1318260" cy="36576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A2D7A3E-2C91-4290-B8DE-E5B7B7B21489}" type="TxLink">
              <a:rPr lang="en-US" sz="1800" b="0" i="0" u="none" strike="noStrike">
                <a:solidFill>
                  <a:srgbClr val="5DD62C"/>
                </a:solidFill>
                <a:latin typeface="Amasis MT Pro Black" panose="02040A04050005020304" pitchFamily="18" charset="0"/>
              </a:rPr>
              <a:pPr algn="ctr"/>
              <a:t>31.79</a:t>
            </a:fld>
            <a:r>
              <a:rPr lang="en-US" sz="1800" b="0" i="0" u="none" strike="noStrike">
                <a:solidFill>
                  <a:srgbClr val="5DD62C"/>
                </a:solidFill>
                <a:latin typeface="Amasis MT Pro Black" panose="02040A04050005020304" pitchFamily="18" charset="0"/>
              </a:rPr>
              <a:t> s</a:t>
            </a:r>
            <a:endParaRPr lang="es-MX" sz="3200">
              <a:solidFill>
                <a:srgbClr val="5DD62C"/>
              </a:solidFill>
              <a:latin typeface="Amasis MT Pro Black" panose="02040A04050005020304" pitchFamily="18" charset="0"/>
            </a:endParaRPr>
          </a:p>
        </xdr:txBody>
      </xdr:sp>
    </xdr:grpSp>
    <xdr:clientData/>
  </xdr:twoCellAnchor>
  <xdr:twoCellAnchor>
    <xdr:from>
      <xdr:col>5</xdr:col>
      <xdr:colOff>464820</xdr:colOff>
      <xdr:row>1</xdr:row>
      <xdr:rowOff>0</xdr:rowOff>
    </xdr:from>
    <xdr:to>
      <xdr:col>8</xdr:col>
      <xdr:colOff>146580</xdr:colOff>
      <xdr:row>6</xdr:row>
      <xdr:rowOff>15240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849B716C-160A-666E-E6DF-D94A28A4F8CA}"/>
            </a:ext>
          </a:extLst>
        </xdr:cNvPr>
        <xdr:cNvGrpSpPr/>
      </xdr:nvGrpSpPr>
      <xdr:grpSpPr>
        <a:xfrm>
          <a:off x="4419963" y="181429"/>
          <a:ext cx="2054846" cy="922382"/>
          <a:chOff x="4427220" y="182880"/>
          <a:chExt cx="2059200" cy="929640"/>
        </a:xfrm>
      </xdr:grpSpPr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771495E8-485A-4475-80C6-D1B5237461E7}"/>
              </a:ext>
            </a:extLst>
          </xdr:cNvPr>
          <xdr:cNvSpPr/>
        </xdr:nvSpPr>
        <xdr:spPr>
          <a:xfrm>
            <a:off x="4427220" y="182880"/>
            <a:ext cx="2059200" cy="929640"/>
          </a:xfrm>
          <a:prstGeom prst="roundRect">
            <a:avLst>
              <a:gd name="adj" fmla="val 10556"/>
            </a:avLst>
          </a:prstGeom>
          <a:solidFill>
            <a:srgbClr val="2226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" name="Rectángulo 9">
            <a:extLst>
              <a:ext uri="{FF2B5EF4-FFF2-40B4-BE49-F238E27FC236}">
                <a16:creationId xmlns:a16="http://schemas.microsoft.com/office/drawing/2014/main" id="{7F15CBB0-298B-41DB-9DD4-878B346A8EC1}"/>
              </a:ext>
            </a:extLst>
          </xdr:cNvPr>
          <xdr:cNvSpPr/>
        </xdr:nvSpPr>
        <xdr:spPr>
          <a:xfrm>
            <a:off x="4556760" y="243840"/>
            <a:ext cx="1912620" cy="3505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>
                <a:solidFill>
                  <a:schemeClr val="bg1"/>
                </a:solidFill>
              </a:rPr>
              <a:t>Audio</a:t>
            </a:r>
            <a:r>
              <a:rPr lang="es-MX" sz="1600" baseline="0">
                <a:solidFill>
                  <a:schemeClr val="bg1"/>
                </a:solidFill>
              </a:rPr>
              <a:t> útil promedio</a:t>
            </a:r>
            <a:endParaRPr lang="es-MX" sz="1600">
              <a:solidFill>
                <a:schemeClr val="bg1"/>
              </a:solidFill>
            </a:endParaRPr>
          </a:p>
          <a:p>
            <a:pPr algn="ctr"/>
            <a:endParaRPr lang="es-MX" sz="1600">
              <a:solidFill>
                <a:schemeClr val="bg1"/>
              </a:solidFill>
            </a:endParaRPr>
          </a:p>
        </xdr:txBody>
      </xdr:sp>
      <xdr:sp macro="" textlink="'KPI Audio'!E4">
        <xdr:nvSpPr>
          <xdr:cNvPr id="11" name="Rectángulo 10">
            <a:extLst>
              <a:ext uri="{FF2B5EF4-FFF2-40B4-BE49-F238E27FC236}">
                <a16:creationId xmlns:a16="http://schemas.microsoft.com/office/drawing/2014/main" id="{F2CB23E4-AD26-4520-BD5E-418B14B85AA6}"/>
              </a:ext>
            </a:extLst>
          </xdr:cNvPr>
          <xdr:cNvSpPr/>
        </xdr:nvSpPr>
        <xdr:spPr>
          <a:xfrm>
            <a:off x="4770120" y="655320"/>
            <a:ext cx="1318260" cy="36576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6CDF03E2-5027-4122-8E43-3AF5D7D07F33}" type="TxLink">
              <a:rPr lang="en-US" sz="1800" b="0" i="0" u="none" strike="noStrike">
                <a:solidFill>
                  <a:srgbClr val="5DD62C"/>
                </a:solidFill>
                <a:latin typeface="Amasis MT Pro Black" panose="02040A04050005020304" pitchFamily="18" charset="0"/>
              </a:rPr>
              <a:pPr algn="ctr"/>
              <a:t>12.10</a:t>
            </a:fld>
            <a:r>
              <a:rPr lang="en-US" sz="1800" b="0" i="0" u="none" strike="noStrike">
                <a:solidFill>
                  <a:srgbClr val="5DD62C"/>
                </a:solidFill>
                <a:latin typeface="Amasis MT Pro Black" panose="02040A04050005020304" pitchFamily="18" charset="0"/>
              </a:rPr>
              <a:t> s</a:t>
            </a:r>
            <a:endParaRPr lang="es-MX" sz="3200">
              <a:solidFill>
                <a:srgbClr val="5DD62C"/>
              </a:solidFill>
              <a:latin typeface="Amasis MT Pro Black" panose="02040A04050005020304" pitchFamily="18" charset="0"/>
            </a:endParaRPr>
          </a:p>
        </xdr:txBody>
      </xdr:sp>
    </xdr:grpSp>
    <xdr:clientData/>
  </xdr:twoCellAnchor>
  <xdr:twoCellAnchor>
    <xdr:from>
      <xdr:col>8</xdr:col>
      <xdr:colOff>259080</xdr:colOff>
      <xdr:row>1</xdr:row>
      <xdr:rowOff>0</xdr:rowOff>
    </xdr:from>
    <xdr:to>
      <xdr:col>10</xdr:col>
      <xdr:colOff>731520</xdr:colOff>
      <xdr:row>6</xdr:row>
      <xdr:rowOff>15240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6415C71A-BC26-72DD-834E-5A56FFB96A7F}"/>
            </a:ext>
          </a:extLst>
        </xdr:cNvPr>
        <xdr:cNvGrpSpPr/>
      </xdr:nvGrpSpPr>
      <xdr:grpSpPr>
        <a:xfrm>
          <a:off x="6587309" y="181429"/>
          <a:ext cx="2054497" cy="922382"/>
          <a:chOff x="6598920" y="182880"/>
          <a:chExt cx="2057400" cy="929640"/>
        </a:xfrm>
      </xdr:grpSpPr>
      <xdr:sp macro="" textlink="">
        <xdr:nvSpPr>
          <xdr:cNvPr id="12" name="Rectángulo: esquinas redondeadas 11">
            <a:extLst>
              <a:ext uri="{FF2B5EF4-FFF2-40B4-BE49-F238E27FC236}">
                <a16:creationId xmlns:a16="http://schemas.microsoft.com/office/drawing/2014/main" id="{B6219F68-98DB-4964-9CCD-4BCE97968E4F}"/>
              </a:ext>
            </a:extLst>
          </xdr:cNvPr>
          <xdr:cNvSpPr/>
        </xdr:nvSpPr>
        <xdr:spPr>
          <a:xfrm>
            <a:off x="6598920" y="182880"/>
            <a:ext cx="2057400" cy="929640"/>
          </a:xfrm>
          <a:prstGeom prst="roundRect">
            <a:avLst>
              <a:gd name="adj" fmla="val 10556"/>
            </a:avLst>
          </a:prstGeom>
          <a:solidFill>
            <a:srgbClr val="2226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3" name="Rectángulo 12">
            <a:extLst>
              <a:ext uri="{FF2B5EF4-FFF2-40B4-BE49-F238E27FC236}">
                <a16:creationId xmlns:a16="http://schemas.microsoft.com/office/drawing/2014/main" id="{7A533753-8378-4301-9F51-D3034BCCA88E}"/>
              </a:ext>
            </a:extLst>
          </xdr:cNvPr>
          <xdr:cNvSpPr/>
        </xdr:nvSpPr>
        <xdr:spPr>
          <a:xfrm>
            <a:off x="6728460" y="243840"/>
            <a:ext cx="1744980" cy="3505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>
                <a:solidFill>
                  <a:schemeClr val="bg1"/>
                </a:solidFill>
              </a:rPr>
              <a:t>Frases</a:t>
            </a:r>
            <a:r>
              <a:rPr lang="es-MX" sz="1600" baseline="0">
                <a:solidFill>
                  <a:schemeClr val="bg1"/>
                </a:solidFill>
              </a:rPr>
              <a:t> promedio</a:t>
            </a:r>
            <a:endParaRPr lang="es-MX" sz="1600">
              <a:solidFill>
                <a:schemeClr val="bg1"/>
              </a:solidFill>
            </a:endParaRPr>
          </a:p>
          <a:p>
            <a:pPr algn="ctr"/>
            <a:endParaRPr lang="es-MX" sz="1600">
              <a:solidFill>
                <a:schemeClr val="bg1"/>
              </a:solidFill>
            </a:endParaRPr>
          </a:p>
        </xdr:txBody>
      </xdr:sp>
      <xdr:sp macro="" textlink="'KPI Audio'!G4">
        <xdr:nvSpPr>
          <xdr:cNvPr id="14" name="Rectángulo 13">
            <a:extLst>
              <a:ext uri="{FF2B5EF4-FFF2-40B4-BE49-F238E27FC236}">
                <a16:creationId xmlns:a16="http://schemas.microsoft.com/office/drawing/2014/main" id="{C42FCB5C-BAC0-494C-A363-D91F915743B5}"/>
              </a:ext>
            </a:extLst>
          </xdr:cNvPr>
          <xdr:cNvSpPr/>
        </xdr:nvSpPr>
        <xdr:spPr>
          <a:xfrm>
            <a:off x="6941820" y="655320"/>
            <a:ext cx="1318260" cy="36576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427BD18-4F9B-4349-8B67-35B26DBDFCD1}" type="TxLink">
              <a:rPr lang="en-US" sz="1800" b="0" i="0" u="none" strike="noStrike">
                <a:solidFill>
                  <a:srgbClr val="5DD62C"/>
                </a:solidFill>
                <a:latin typeface="Amasis MT Pro Black" panose="02040A04050005020304" pitchFamily="18" charset="0"/>
              </a:rPr>
              <a:pPr algn="ctr"/>
              <a:t>2.67</a:t>
            </a:fld>
            <a:endParaRPr lang="es-MX" sz="3200">
              <a:solidFill>
                <a:srgbClr val="5DD62C"/>
              </a:solidFill>
              <a:latin typeface="Amasis MT Pro Black" panose="02040A04050005020304" pitchFamily="18" charset="0"/>
            </a:endParaRPr>
          </a:p>
        </xdr:txBody>
      </xdr:sp>
    </xdr:grpSp>
    <xdr:clientData/>
  </xdr:twoCellAnchor>
  <xdr:twoCellAnchor>
    <xdr:from>
      <xdr:col>0</xdr:col>
      <xdr:colOff>106680</xdr:colOff>
      <xdr:row>6</xdr:row>
      <xdr:rowOff>160020</xdr:rowOff>
    </xdr:from>
    <xdr:to>
      <xdr:col>5</xdr:col>
      <xdr:colOff>358140</xdr:colOff>
      <xdr:row>21</xdr:row>
      <xdr:rowOff>19050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63549F13-01C7-4823-F688-1355BCC62FA6}"/>
            </a:ext>
          </a:extLst>
        </xdr:cNvPr>
        <xdr:cNvGrpSpPr/>
      </xdr:nvGrpSpPr>
      <xdr:grpSpPr>
        <a:xfrm>
          <a:off x="106680" y="1248591"/>
          <a:ext cx="4206603" cy="2580459"/>
          <a:chOff x="106680" y="1257300"/>
          <a:chExt cx="4213860" cy="2602230"/>
        </a:xfrm>
      </xdr:grpSpPr>
      <xdr:sp macro="" textlink="">
        <xdr:nvSpPr>
          <xdr:cNvPr id="15" name="Rectángulo: esquinas redondeadas 14">
            <a:extLst>
              <a:ext uri="{FF2B5EF4-FFF2-40B4-BE49-F238E27FC236}">
                <a16:creationId xmlns:a16="http://schemas.microsoft.com/office/drawing/2014/main" id="{BE4277FA-30A4-4AEC-972A-1AD7657A6D06}"/>
              </a:ext>
            </a:extLst>
          </xdr:cNvPr>
          <xdr:cNvSpPr/>
        </xdr:nvSpPr>
        <xdr:spPr>
          <a:xfrm>
            <a:off x="106680" y="1268730"/>
            <a:ext cx="4213860" cy="2590800"/>
          </a:xfrm>
          <a:prstGeom prst="roundRect">
            <a:avLst>
              <a:gd name="adj" fmla="val 7320"/>
            </a:avLst>
          </a:prstGeom>
          <a:solidFill>
            <a:srgbClr val="2226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aphicFrame macro="">
        <xdr:nvGraphicFramePr>
          <xdr:cNvPr id="16" name="Gráfico 15">
            <a:extLst>
              <a:ext uri="{FF2B5EF4-FFF2-40B4-BE49-F238E27FC236}">
                <a16:creationId xmlns:a16="http://schemas.microsoft.com/office/drawing/2014/main" id="{C1468740-6028-4F90-9940-1AA221A2AFC6}"/>
              </a:ext>
            </a:extLst>
          </xdr:cNvPr>
          <xdr:cNvGraphicFramePr>
            <a:graphicFrameLocks/>
          </xdr:cNvGraphicFramePr>
        </xdr:nvGraphicFramePr>
        <xdr:xfrm>
          <a:off x="175260" y="1539240"/>
          <a:ext cx="4053840" cy="2255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7" name="Rectángulo 16">
            <a:extLst>
              <a:ext uri="{FF2B5EF4-FFF2-40B4-BE49-F238E27FC236}">
                <a16:creationId xmlns:a16="http://schemas.microsoft.com/office/drawing/2014/main" id="{E7C4E8D8-B7DF-4C71-8659-32D90F9C416E}"/>
              </a:ext>
            </a:extLst>
          </xdr:cNvPr>
          <xdr:cNvSpPr/>
        </xdr:nvSpPr>
        <xdr:spPr>
          <a:xfrm>
            <a:off x="106680" y="1257300"/>
            <a:ext cx="2156460" cy="3505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>
                <a:solidFill>
                  <a:schemeClr val="bg1"/>
                </a:solidFill>
              </a:rPr>
              <a:t>Distribución</a:t>
            </a:r>
            <a:r>
              <a:rPr lang="es-MX" sz="1600" baseline="0">
                <a:solidFill>
                  <a:schemeClr val="bg1"/>
                </a:solidFill>
              </a:rPr>
              <a:t> por clases </a:t>
            </a:r>
            <a:endParaRPr lang="es-MX" sz="1600">
              <a:solidFill>
                <a:schemeClr val="bg1"/>
              </a:solidFill>
            </a:endParaRPr>
          </a:p>
          <a:p>
            <a:pPr algn="ctr"/>
            <a:endParaRPr lang="es-MX" sz="1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480060</xdr:colOff>
      <xdr:row>6</xdr:row>
      <xdr:rowOff>165735</xdr:rowOff>
    </xdr:from>
    <xdr:to>
      <xdr:col>10</xdr:col>
      <xdr:colOff>731520</xdr:colOff>
      <xdr:row>21</xdr:row>
      <xdr:rowOff>13335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50A68B25-BE96-A030-D535-707622FE855F}"/>
            </a:ext>
          </a:extLst>
        </xdr:cNvPr>
        <xdr:cNvGrpSpPr/>
      </xdr:nvGrpSpPr>
      <xdr:grpSpPr>
        <a:xfrm>
          <a:off x="4435203" y="1254306"/>
          <a:ext cx="4206603" cy="2569029"/>
          <a:chOff x="4434840" y="1268730"/>
          <a:chExt cx="4213860" cy="2590800"/>
        </a:xfrm>
      </xdr:grpSpPr>
      <xdr:sp macro="" textlink="">
        <xdr:nvSpPr>
          <xdr:cNvPr id="18" name="Rectángulo: esquinas redondeadas 17">
            <a:extLst>
              <a:ext uri="{FF2B5EF4-FFF2-40B4-BE49-F238E27FC236}">
                <a16:creationId xmlns:a16="http://schemas.microsoft.com/office/drawing/2014/main" id="{220F2349-0757-4061-91CC-8013EF86B5C0}"/>
              </a:ext>
            </a:extLst>
          </xdr:cNvPr>
          <xdr:cNvSpPr/>
        </xdr:nvSpPr>
        <xdr:spPr>
          <a:xfrm>
            <a:off x="4434840" y="1268730"/>
            <a:ext cx="4213860" cy="2590800"/>
          </a:xfrm>
          <a:prstGeom prst="roundRect">
            <a:avLst>
              <a:gd name="adj" fmla="val 7320"/>
            </a:avLst>
          </a:prstGeom>
          <a:solidFill>
            <a:srgbClr val="2226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aphicFrame macro="">
        <xdr:nvGraphicFramePr>
          <xdr:cNvPr id="19" name="Gráfico 18">
            <a:extLst>
              <a:ext uri="{FF2B5EF4-FFF2-40B4-BE49-F238E27FC236}">
                <a16:creationId xmlns:a16="http://schemas.microsoft.com/office/drawing/2014/main" id="{30E379D0-012F-4E08-9897-CC320BA86243}"/>
              </a:ext>
            </a:extLst>
          </xdr:cNvPr>
          <xdr:cNvGraphicFramePr>
            <a:graphicFrameLocks/>
          </xdr:cNvGraphicFramePr>
        </xdr:nvGraphicFramePr>
        <xdr:xfrm>
          <a:off x="4503420" y="1607820"/>
          <a:ext cx="4084320" cy="21831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Rectángulo 19">
            <a:extLst>
              <a:ext uri="{FF2B5EF4-FFF2-40B4-BE49-F238E27FC236}">
                <a16:creationId xmlns:a16="http://schemas.microsoft.com/office/drawing/2014/main" id="{D5CECA6A-CEB2-4AE0-B0F3-072D2A34E155}"/>
              </a:ext>
            </a:extLst>
          </xdr:cNvPr>
          <xdr:cNvSpPr/>
        </xdr:nvSpPr>
        <xdr:spPr>
          <a:xfrm>
            <a:off x="4434840" y="1268730"/>
            <a:ext cx="2156460" cy="3505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 baseline="0">
                <a:solidFill>
                  <a:schemeClr val="bg1"/>
                </a:solidFill>
              </a:rPr>
              <a:t>Porcentaje de audio útil </a:t>
            </a:r>
            <a:endParaRPr lang="es-MX" sz="1600">
              <a:solidFill>
                <a:schemeClr val="bg1"/>
              </a:solidFill>
            </a:endParaRPr>
          </a:p>
          <a:p>
            <a:pPr algn="ctr"/>
            <a:endParaRPr lang="es-MX" sz="1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11</xdr:col>
      <xdr:colOff>60960</xdr:colOff>
      <xdr:row>6</xdr:row>
      <xdr:rowOff>165735</xdr:rowOff>
    </xdr:from>
    <xdr:to>
      <xdr:col>16</xdr:col>
      <xdr:colOff>312420</xdr:colOff>
      <xdr:row>21</xdr:row>
      <xdr:rowOff>13335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F0990141-8D23-F292-576D-7EE8E86CCBCA}"/>
            </a:ext>
          </a:extLst>
        </xdr:cNvPr>
        <xdr:cNvGrpSpPr/>
      </xdr:nvGrpSpPr>
      <xdr:grpSpPr>
        <a:xfrm>
          <a:off x="8762274" y="1254306"/>
          <a:ext cx="4206603" cy="2569029"/>
          <a:chOff x="8823960" y="1280160"/>
          <a:chExt cx="4213860" cy="2590800"/>
        </a:xfrm>
      </xdr:grpSpPr>
      <xdr:sp macro="" textlink="">
        <xdr:nvSpPr>
          <xdr:cNvPr id="21" name="Rectángulo: esquinas redondeadas 20">
            <a:extLst>
              <a:ext uri="{FF2B5EF4-FFF2-40B4-BE49-F238E27FC236}">
                <a16:creationId xmlns:a16="http://schemas.microsoft.com/office/drawing/2014/main" id="{BD7AF3E2-3C0B-4A69-8080-9CD1482D9E36}"/>
              </a:ext>
            </a:extLst>
          </xdr:cNvPr>
          <xdr:cNvSpPr/>
        </xdr:nvSpPr>
        <xdr:spPr>
          <a:xfrm>
            <a:off x="8823960" y="1280160"/>
            <a:ext cx="4213860" cy="2590800"/>
          </a:xfrm>
          <a:prstGeom prst="roundRect">
            <a:avLst>
              <a:gd name="adj" fmla="val 7320"/>
            </a:avLst>
          </a:prstGeom>
          <a:solidFill>
            <a:srgbClr val="2226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02C44D7E-8892-4290-92E2-4CA383D50AAE}"/>
              </a:ext>
            </a:extLst>
          </xdr:cNvPr>
          <xdr:cNvGraphicFramePr>
            <a:graphicFrameLocks/>
          </xdr:cNvGraphicFramePr>
        </xdr:nvGraphicFramePr>
        <xdr:xfrm>
          <a:off x="8839200" y="1714500"/>
          <a:ext cx="4145280" cy="20802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4" name="Rectángulo 23">
            <a:extLst>
              <a:ext uri="{FF2B5EF4-FFF2-40B4-BE49-F238E27FC236}">
                <a16:creationId xmlns:a16="http://schemas.microsoft.com/office/drawing/2014/main" id="{0DCFE277-D6C3-46D8-9F8E-248068B905F6}"/>
              </a:ext>
            </a:extLst>
          </xdr:cNvPr>
          <xdr:cNvSpPr/>
        </xdr:nvSpPr>
        <xdr:spPr>
          <a:xfrm>
            <a:off x="8823960" y="1280160"/>
            <a:ext cx="1790700" cy="3505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 baseline="0">
                <a:solidFill>
                  <a:schemeClr val="bg1"/>
                </a:solidFill>
              </a:rPr>
              <a:t>Promedio de frases</a:t>
            </a:r>
            <a:endParaRPr lang="es-MX" sz="1600">
              <a:solidFill>
                <a:schemeClr val="bg1"/>
              </a:solidFill>
            </a:endParaRPr>
          </a:p>
          <a:p>
            <a:pPr algn="ctr"/>
            <a:endParaRPr lang="es-MX" sz="1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83820</xdr:colOff>
      <xdr:row>21</xdr:row>
      <xdr:rowOff>175260</xdr:rowOff>
    </xdr:from>
    <xdr:to>
      <xdr:col>5</xdr:col>
      <xdr:colOff>335280</xdr:colOff>
      <xdr:row>36</xdr:row>
      <xdr:rowOff>22860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99300203-50AD-19CA-E293-A206FCBCD148}"/>
            </a:ext>
          </a:extLst>
        </xdr:cNvPr>
        <xdr:cNvGrpSpPr/>
      </xdr:nvGrpSpPr>
      <xdr:grpSpPr>
        <a:xfrm>
          <a:off x="83820" y="3985260"/>
          <a:ext cx="4206603" cy="2569029"/>
          <a:chOff x="83820" y="4000500"/>
          <a:chExt cx="4213860" cy="2590800"/>
        </a:xfrm>
      </xdr:grpSpPr>
      <xdr:sp macro="" textlink="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ED34C515-3BC9-4A75-B5EF-EF9B0520AE93}"/>
              </a:ext>
            </a:extLst>
          </xdr:cNvPr>
          <xdr:cNvSpPr/>
        </xdr:nvSpPr>
        <xdr:spPr>
          <a:xfrm>
            <a:off x="83820" y="4000500"/>
            <a:ext cx="4213860" cy="2590800"/>
          </a:xfrm>
          <a:prstGeom prst="roundRect">
            <a:avLst>
              <a:gd name="adj" fmla="val 7320"/>
            </a:avLst>
          </a:prstGeom>
          <a:solidFill>
            <a:srgbClr val="2226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aphicFrame macro="">
        <xdr:nvGraphicFramePr>
          <xdr:cNvPr id="34" name="Gráfico 33">
            <a:extLst>
              <a:ext uri="{FF2B5EF4-FFF2-40B4-BE49-F238E27FC236}">
                <a16:creationId xmlns:a16="http://schemas.microsoft.com/office/drawing/2014/main" id="{83BD4DFC-8835-4821-93C1-B58A92EF4898}"/>
              </a:ext>
            </a:extLst>
          </xdr:cNvPr>
          <xdr:cNvGraphicFramePr>
            <a:graphicFrameLocks/>
          </xdr:cNvGraphicFramePr>
        </xdr:nvGraphicFramePr>
        <xdr:xfrm>
          <a:off x="167640" y="4366260"/>
          <a:ext cx="4053840" cy="21793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35" name="Rectángulo 34">
            <a:extLst>
              <a:ext uri="{FF2B5EF4-FFF2-40B4-BE49-F238E27FC236}">
                <a16:creationId xmlns:a16="http://schemas.microsoft.com/office/drawing/2014/main" id="{66AED63F-3B28-456F-B296-B57A02E2C05A}"/>
              </a:ext>
            </a:extLst>
          </xdr:cNvPr>
          <xdr:cNvSpPr/>
        </xdr:nvSpPr>
        <xdr:spPr>
          <a:xfrm>
            <a:off x="83820" y="4000500"/>
            <a:ext cx="1943100" cy="3505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 baseline="0">
                <a:solidFill>
                  <a:schemeClr val="bg1"/>
                </a:solidFill>
              </a:rPr>
              <a:t>Promedio RMS_mean</a:t>
            </a:r>
            <a:endParaRPr lang="es-MX" sz="1600">
              <a:solidFill>
                <a:schemeClr val="bg1"/>
              </a:solidFill>
            </a:endParaRPr>
          </a:p>
          <a:p>
            <a:pPr algn="ctr"/>
            <a:endParaRPr lang="es-MX" sz="1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464820</xdr:colOff>
      <xdr:row>21</xdr:row>
      <xdr:rowOff>175260</xdr:rowOff>
    </xdr:from>
    <xdr:to>
      <xdr:col>10</xdr:col>
      <xdr:colOff>716280</xdr:colOff>
      <xdr:row>36</xdr:row>
      <xdr:rowOff>22860</xdr:rowOff>
    </xdr:to>
    <xdr:grpSp>
      <xdr:nvGrpSpPr>
        <xdr:cNvPr id="39" name="Grupo 38">
          <a:extLst>
            <a:ext uri="{FF2B5EF4-FFF2-40B4-BE49-F238E27FC236}">
              <a16:creationId xmlns:a16="http://schemas.microsoft.com/office/drawing/2014/main" id="{CBEC35BD-3F3E-37CD-3D5C-E6A014196329}"/>
            </a:ext>
          </a:extLst>
        </xdr:cNvPr>
        <xdr:cNvGrpSpPr/>
      </xdr:nvGrpSpPr>
      <xdr:grpSpPr>
        <a:xfrm>
          <a:off x="4419963" y="3985260"/>
          <a:ext cx="4206603" cy="2569029"/>
          <a:chOff x="4427220" y="4030980"/>
          <a:chExt cx="4213860" cy="2590800"/>
        </a:xfrm>
      </xdr:grpSpPr>
      <xdr:sp macro="" textlink="">
        <xdr:nvSpPr>
          <xdr:cNvPr id="33" name="Rectángulo: esquinas redondeadas 32">
            <a:extLst>
              <a:ext uri="{FF2B5EF4-FFF2-40B4-BE49-F238E27FC236}">
                <a16:creationId xmlns:a16="http://schemas.microsoft.com/office/drawing/2014/main" id="{842D2022-2CFC-44D5-994F-0524DE929842}"/>
              </a:ext>
            </a:extLst>
          </xdr:cNvPr>
          <xdr:cNvSpPr/>
        </xdr:nvSpPr>
        <xdr:spPr>
          <a:xfrm>
            <a:off x="4427220" y="4030980"/>
            <a:ext cx="4213860" cy="2590800"/>
          </a:xfrm>
          <a:prstGeom prst="roundRect">
            <a:avLst>
              <a:gd name="adj" fmla="val 7320"/>
            </a:avLst>
          </a:prstGeom>
          <a:solidFill>
            <a:srgbClr val="2226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aphicFrame macro="">
        <xdr:nvGraphicFramePr>
          <xdr:cNvPr id="36" name="Gráfico 35">
            <a:extLst>
              <a:ext uri="{FF2B5EF4-FFF2-40B4-BE49-F238E27FC236}">
                <a16:creationId xmlns:a16="http://schemas.microsoft.com/office/drawing/2014/main" id="{BF83283C-2C35-4B2D-9371-D3257A3BA6C7}"/>
              </a:ext>
            </a:extLst>
          </xdr:cNvPr>
          <xdr:cNvGraphicFramePr>
            <a:graphicFrameLocks/>
          </xdr:cNvGraphicFramePr>
        </xdr:nvGraphicFramePr>
        <xdr:xfrm>
          <a:off x="4495800" y="4389120"/>
          <a:ext cx="4084320" cy="21564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37" name="Rectángulo 36">
            <a:extLst>
              <a:ext uri="{FF2B5EF4-FFF2-40B4-BE49-F238E27FC236}">
                <a16:creationId xmlns:a16="http://schemas.microsoft.com/office/drawing/2014/main" id="{FB62C662-C544-443A-941B-08AF8F3F585F}"/>
              </a:ext>
            </a:extLst>
          </xdr:cNvPr>
          <xdr:cNvSpPr/>
        </xdr:nvSpPr>
        <xdr:spPr>
          <a:xfrm>
            <a:off x="4427220" y="4030980"/>
            <a:ext cx="2506980" cy="3505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 baseline="0">
                <a:solidFill>
                  <a:schemeClr val="bg1"/>
                </a:solidFill>
              </a:rPr>
              <a:t>Promedio de rango dinámico</a:t>
            </a:r>
            <a:endParaRPr lang="es-MX" sz="1600">
              <a:solidFill>
                <a:schemeClr val="bg1"/>
              </a:solidFill>
            </a:endParaRPr>
          </a:p>
          <a:p>
            <a:pPr algn="ctr"/>
            <a:endParaRPr lang="es-MX" sz="1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11</xdr:col>
      <xdr:colOff>30480</xdr:colOff>
      <xdr:row>1</xdr:row>
      <xdr:rowOff>7620</xdr:rowOff>
    </xdr:from>
    <xdr:to>
      <xdr:col>13</xdr:col>
      <xdr:colOff>716280</xdr:colOff>
      <xdr:row>6</xdr:row>
      <xdr:rowOff>22860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B523950D-D897-40F1-B666-6C8D88671E94}"/>
            </a:ext>
          </a:extLst>
        </xdr:cNvPr>
        <xdr:cNvGrpSpPr/>
      </xdr:nvGrpSpPr>
      <xdr:grpSpPr>
        <a:xfrm>
          <a:off x="8731794" y="189049"/>
          <a:ext cx="2267857" cy="922382"/>
          <a:chOff x="6576060" y="182880"/>
          <a:chExt cx="2270760" cy="929640"/>
        </a:xfrm>
      </xdr:grpSpPr>
      <xdr:sp macro="" textlink="">
        <xdr:nvSpPr>
          <xdr:cNvPr id="42" name="Rectángulo: esquinas redondeadas 41">
            <a:extLst>
              <a:ext uri="{FF2B5EF4-FFF2-40B4-BE49-F238E27FC236}">
                <a16:creationId xmlns:a16="http://schemas.microsoft.com/office/drawing/2014/main" id="{CAA98CA1-BF18-9AB7-5EF5-20DA704A2D42}"/>
              </a:ext>
            </a:extLst>
          </xdr:cNvPr>
          <xdr:cNvSpPr/>
        </xdr:nvSpPr>
        <xdr:spPr>
          <a:xfrm>
            <a:off x="6598920" y="182880"/>
            <a:ext cx="2194560" cy="929640"/>
          </a:xfrm>
          <a:prstGeom prst="roundRect">
            <a:avLst>
              <a:gd name="adj" fmla="val 10556"/>
            </a:avLst>
          </a:prstGeom>
          <a:solidFill>
            <a:srgbClr val="2226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3" name="Rectángulo 42">
            <a:extLst>
              <a:ext uri="{FF2B5EF4-FFF2-40B4-BE49-F238E27FC236}">
                <a16:creationId xmlns:a16="http://schemas.microsoft.com/office/drawing/2014/main" id="{A7DCC47C-F36C-02C9-39B1-8D714B737218}"/>
              </a:ext>
            </a:extLst>
          </xdr:cNvPr>
          <xdr:cNvSpPr/>
        </xdr:nvSpPr>
        <xdr:spPr>
          <a:xfrm>
            <a:off x="6576060" y="213360"/>
            <a:ext cx="2270760" cy="3505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>
                <a:solidFill>
                  <a:schemeClr val="bg1"/>
                </a:solidFill>
              </a:rPr>
              <a:t>Tasa</a:t>
            </a:r>
            <a:r>
              <a:rPr lang="es-MX" sz="1600" baseline="0">
                <a:solidFill>
                  <a:schemeClr val="bg1"/>
                </a:solidFill>
              </a:rPr>
              <a:t> de aprovechamiento</a:t>
            </a:r>
          </a:p>
          <a:p>
            <a:pPr algn="ctr"/>
            <a:endParaRPr lang="es-MX" sz="1600">
              <a:solidFill>
                <a:schemeClr val="bg1"/>
              </a:solidFill>
            </a:endParaRPr>
          </a:p>
          <a:p>
            <a:pPr algn="ctr"/>
            <a:endParaRPr lang="es-MX" sz="1600">
              <a:solidFill>
                <a:schemeClr val="bg1"/>
              </a:solidFill>
            </a:endParaRPr>
          </a:p>
        </xdr:txBody>
      </xdr:sp>
      <xdr:sp macro="" textlink="">
        <xdr:nvSpPr>
          <xdr:cNvPr id="44" name="Rectángulo 43">
            <a:extLst>
              <a:ext uri="{FF2B5EF4-FFF2-40B4-BE49-F238E27FC236}">
                <a16:creationId xmlns:a16="http://schemas.microsoft.com/office/drawing/2014/main" id="{3C25A72A-DB23-9EBD-B4FA-EED8058F4CFE}"/>
              </a:ext>
            </a:extLst>
          </xdr:cNvPr>
          <xdr:cNvSpPr/>
        </xdr:nvSpPr>
        <xdr:spPr>
          <a:xfrm>
            <a:off x="7046771" y="655320"/>
            <a:ext cx="1318260" cy="36576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 b="0" i="0" u="none" strike="noStrike">
                <a:solidFill>
                  <a:srgbClr val="5DD62C"/>
                </a:solidFill>
                <a:latin typeface="Amasis MT Pro Black" panose="02040A04050005020304" pitchFamily="18" charset="0"/>
              </a:rPr>
              <a:t>53.2 %</a:t>
            </a:r>
          </a:p>
        </xdr:txBody>
      </xdr:sp>
    </xdr:grpSp>
    <xdr:clientData/>
  </xdr:twoCellAnchor>
  <xdr:twoCellAnchor>
    <xdr:from>
      <xdr:col>11</xdr:col>
      <xdr:colOff>53340</xdr:colOff>
      <xdr:row>22</xdr:row>
      <xdr:rowOff>7620</xdr:rowOff>
    </xdr:from>
    <xdr:to>
      <xdr:col>16</xdr:col>
      <xdr:colOff>304800</xdr:colOff>
      <xdr:row>36</xdr:row>
      <xdr:rowOff>38100</xdr:rowOff>
    </xdr:to>
    <xdr:grpSp>
      <xdr:nvGrpSpPr>
        <xdr:cNvPr id="54" name="Grupo 53">
          <a:extLst>
            <a:ext uri="{FF2B5EF4-FFF2-40B4-BE49-F238E27FC236}">
              <a16:creationId xmlns:a16="http://schemas.microsoft.com/office/drawing/2014/main" id="{4DCDAF99-D1CD-485E-B48A-2D7D0EA237FC}"/>
            </a:ext>
          </a:extLst>
        </xdr:cNvPr>
        <xdr:cNvGrpSpPr/>
      </xdr:nvGrpSpPr>
      <xdr:grpSpPr>
        <a:xfrm>
          <a:off x="8754654" y="3999049"/>
          <a:ext cx="4206603" cy="2570480"/>
          <a:chOff x="4427220" y="4030980"/>
          <a:chExt cx="4213860" cy="2590800"/>
        </a:xfrm>
      </xdr:grpSpPr>
      <xdr:sp macro="" textlink="">
        <xdr:nvSpPr>
          <xdr:cNvPr id="55" name="Rectángulo: esquinas redondeadas 54">
            <a:extLst>
              <a:ext uri="{FF2B5EF4-FFF2-40B4-BE49-F238E27FC236}">
                <a16:creationId xmlns:a16="http://schemas.microsoft.com/office/drawing/2014/main" id="{6866E446-7E54-32AE-D579-80332D8A1FFF}"/>
              </a:ext>
            </a:extLst>
          </xdr:cNvPr>
          <xdr:cNvSpPr/>
        </xdr:nvSpPr>
        <xdr:spPr>
          <a:xfrm>
            <a:off x="4427220" y="4030980"/>
            <a:ext cx="4213860" cy="2590800"/>
          </a:xfrm>
          <a:prstGeom prst="roundRect">
            <a:avLst>
              <a:gd name="adj" fmla="val 7320"/>
            </a:avLst>
          </a:prstGeom>
          <a:solidFill>
            <a:srgbClr val="2226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57" name="Rectángulo 56">
            <a:extLst>
              <a:ext uri="{FF2B5EF4-FFF2-40B4-BE49-F238E27FC236}">
                <a16:creationId xmlns:a16="http://schemas.microsoft.com/office/drawing/2014/main" id="{A6D1FD3D-29BF-2236-022E-9CB7666B5D8A}"/>
              </a:ext>
            </a:extLst>
          </xdr:cNvPr>
          <xdr:cNvSpPr/>
        </xdr:nvSpPr>
        <xdr:spPr>
          <a:xfrm>
            <a:off x="4427220" y="4030980"/>
            <a:ext cx="2065020" cy="3505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MX" sz="1600" baseline="0">
                <a:solidFill>
                  <a:schemeClr val="bg1"/>
                </a:solidFill>
              </a:rPr>
              <a:t>Promedio de duración</a:t>
            </a:r>
            <a:endParaRPr lang="es-MX" sz="1600">
              <a:solidFill>
                <a:schemeClr val="bg1"/>
              </a:solidFill>
            </a:endParaRPr>
          </a:p>
          <a:p>
            <a:pPr algn="ctr"/>
            <a:endParaRPr lang="es-MX" sz="1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11</xdr:col>
      <xdr:colOff>106680</xdr:colOff>
      <xdr:row>24</xdr:row>
      <xdr:rowOff>0</xdr:rowOff>
    </xdr:from>
    <xdr:to>
      <xdr:col>16</xdr:col>
      <xdr:colOff>259080</xdr:colOff>
      <xdr:row>35</xdr:row>
      <xdr:rowOff>129540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C242A82F-C4DF-4FD5-8D6C-30BF0473D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14</xdr:col>
      <xdr:colOff>476249</xdr:colOff>
      <xdr:row>0</xdr:row>
      <xdr:rowOff>123825</xdr:rowOff>
    </xdr:from>
    <xdr:to>
      <xdr:col>15</xdr:col>
      <xdr:colOff>657225</xdr:colOff>
      <xdr:row>6</xdr:row>
      <xdr:rowOff>76201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CFA10500-4407-E2F7-E65B-0619B4BFD0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36" t="16666" r="17901" b="16050"/>
        <a:stretch>
          <a:fillRect/>
        </a:stretch>
      </xdr:blipFill>
      <xdr:spPr>
        <a:xfrm>
          <a:off x="11544299" y="123825"/>
          <a:ext cx="971551" cy="103822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" refreshedDate="46197.703784953701" createdVersion="8" refreshedVersion="8" minRefreshableVersion="3" recordCount="109" xr:uid="{9991D4E9-538F-46D8-9771-C2389E7AD712}">
  <cacheSource type="worksheet">
    <worksheetSource name="reporte_audio"/>
  </cacheSource>
  <cacheFields count="9">
    <cacheField name="archivo" numFmtId="0">
      <sharedItems count="109">
        <s v="104_12_18_2024_CNOCgrabacion3_d.wav"/>
        <s v="11_4_18_2026_Banamex_grabacion_0.wav"/>
        <s v="11_4_18_2026_Banamex_grabacion_1.wav"/>
        <s v="11_4_20_2026_Banamex_grabacion_0.wav"/>
        <s v="11_4_21_2026_Banamex_grabacion_0.wav"/>
        <s v="11_4_21_2026_Banamex_grabacion_1.wav"/>
        <s v="11_4_21_2026_Banamex_grabacion_2.wav"/>
        <s v="123_12_18_2024_CNOCgrabacion3_d.wav"/>
        <s v="13_4_23_2026_BBVAgrabacion_0.wav"/>
        <s v="14_4_23_2026_BBVAgrabacion_0.wav"/>
        <s v="161_12_18_2024_CNOCgrabacion3_d.wav"/>
        <s v="18_4_22_2026_BBVAgrabacion_0.wav"/>
        <s v="1_2_13_2025_BBVAgrabacion3.wav"/>
        <s v="1_2_13_2025_CNOCgrabacion3.wav"/>
        <s v="1_2_26_2025_BBVAgrabacion3.wav"/>
        <s v="1_3_13_2026_Vidanta_grabacion3.wav"/>
        <s v="1_3_14_2026_Vidanta_grabacion3.wav"/>
        <s v="1_3_22_2026_GNPgrabacion_0.wav"/>
        <s v="1_3_23_2026_GNPgrabacion_0.wav"/>
        <s v="1_3_24_2026_GNPgrabacion_0.wav"/>
        <s v="1_3_25_2026_GNPgrabacion_0.wav"/>
        <s v="1_3_26_2026_GNPgrabacion_0.wav"/>
        <s v="1_3_27_2026_GNPgrabacion_0.wav"/>
        <s v="1_3_28_2026_GNPgrabacion_0.wav"/>
        <s v="1_3_28_2026_GNPgrabacion_1.wav"/>
        <s v="1_3_29_2026_GNPgrabacion_0.wav"/>
        <s v="1_3_30_2026_GNPgrabacion_0.wav"/>
        <s v="1_3_31_2026_GNPgrabacion_0.wav"/>
        <s v="1_4_10_2026_GNPgrabacion_0.wav"/>
        <s v="1_4_11_2026_GNPgrabacion_0.wav"/>
        <s v="1_4_11_2026_Vidanta_grabacion_0.wav"/>
        <s v="1_4_11_2026_Vidanta_grabacion_1.wav"/>
        <s v="1_4_12_2026_BBVAgrabacion_0.wav"/>
        <s v="1_4_12_2026_GNPgrabacion_0.wav"/>
        <s v="1_4_12_2026_Vidanta_grabacion_0.wav"/>
        <s v="1_4_13_2026_BBVAgrabacion_0.wav"/>
        <s v="1_4_13_2026_GNPgrabacion_0.wav"/>
        <s v="1_4_13_2026_Vidanta_grabacion_0.wav"/>
        <s v="1_4_14_2026_BBVAgrabacion_0.wav"/>
        <s v="1_4_14_2026_GNPgrabacion_0.wav"/>
        <s v="1_4_14_2026_Vidanta_grabacion_0.wav"/>
        <s v="1_4_15_2026_BBVAgrabacion_0.wav"/>
        <s v="1_4_1_2026_GNPgrabacion_0.wav"/>
        <s v="1_4_22_2026_Banamex_grabacion_0.wav"/>
        <s v="1_4_2_2026_GNPgrabacion_0.wav"/>
        <s v="1_4_3_2026_GNPgrabacion_0.wav"/>
        <s v="1_4_3_2026_GNPgrabacion_1.wav"/>
        <s v="1_4_4_2026_GNPgrabacion_0.wav"/>
        <s v="1_4_5_2026_GNPgrabacion_0.wav"/>
        <s v="1_4_6_2026_GNPgrabacion_0.wav"/>
        <s v="1_4_7_2026_GNPgrabacion_0.wav"/>
        <s v="1_4_8_2026_GNPgrabacion_0.wav"/>
        <s v="1_4_9_2026_GNPgrabacion_0.wav"/>
        <s v="20_4_23_2026_BBVAgrabacion_0.wav"/>
        <s v="22_4_23_2026_BBVAgrabacion_0.wav"/>
        <s v="22_4_23_2026_BBVAgrabacion_1.wav"/>
        <s v="2_11_28_2024_BBVAgrabacion3.wav"/>
        <s v="2_11_29_2024_BBVAgrabacion3.wav"/>
        <s v="2_11_30_2024_BBVAgrabacion3.wav"/>
        <s v="2_12_2_2024_BBVAgrabacion3.wav"/>
        <s v="2_12_3_2024_CNOCgrabacion3.wav"/>
        <s v="2_3_28_2026_GNPgrabacion_0.wav"/>
        <s v="2_3_29_2026_GNPgrabacion_0.wav"/>
        <s v="2_3_30_2026_GNPgrabacion_0.wav"/>
        <s v="2_3_31_2026_GNPgrabacion_0.wav"/>
        <s v="2_4_13_2026_BBVAgrabacion_0.wav"/>
        <s v="2_4_13_2026_Vidanta_grabacion_0.wav"/>
        <s v="2_4_14_2026_BBVAgrabacion_0.wav"/>
        <s v="2_4_15_2026_BBVAgrabacion_0.wav"/>
        <s v="2_4_15_2026_BBVAgrabacion_1.wav"/>
        <s v="2_4_1_2026_GNPgrabacion_0.wav"/>
        <s v="2_4_21_2026_Banamex_grabacion_0.wav"/>
        <s v="2_4_22_2026_BBVAgrabacion_0.wav"/>
        <s v="2_4_2_2026_GNPgrabacion_0.wav"/>
        <s v="2_4_3_2026_GNPgrabacion_0.wav"/>
        <s v="2_4_4_2026_GNPgrabacion_0.wav"/>
        <s v="2_4_5_2026_GNPgrabacion_0.wav"/>
        <s v="31_4_23_2026_BBVAgrabacion_0.wav"/>
        <s v="33_4_21_2026_BBVAgrabacion_0.wav"/>
        <s v="35_4_21_2026_BBVAgrabacion_0.wav"/>
        <s v="35_4_22_2026_BBVAgrabacion_0.wav"/>
        <s v="36_4_23_2026_BBVAgrabacion_0.wav"/>
        <s v="37_4_23_2026_BBVAgrabacion_0.wav"/>
        <s v="38_4_22_2026_BBVAgrabacion_0.wav"/>
        <s v="39_4_23_2026_BBVAgrabacion_0.wav"/>
        <s v="3_4_18_2026_Banamex_grabacion_0.wav"/>
        <s v="3_4_21_2026_Banamex_grabacion_0.wav"/>
        <s v="3_4_22_2026_BBVAgrabacion_0.wav"/>
        <s v="3_4_23_2026_BBVAgrabacion_0.wav"/>
        <s v="3_4_24_2026_Banamex_grabacion_0.wav"/>
        <s v="40_4_23_2026_BBVAgrabacion_0.wav"/>
        <s v="45_2_13_2025_GNPgrabacion3.wav"/>
        <s v="48_4_21_2026_BBVAgrabacion_0.wav"/>
        <s v="48_4_22_2026_BBVAgrabacion_0.wav"/>
        <s v="4_4_22_2026_BBVAgrabacion_0.wav"/>
        <s v="55_4_21_2026_BBVAgrabacion_0.wav"/>
        <s v="57_4_21_2026_BBVAgrabacion_0.wav"/>
        <s v="57_4_21_2026_BBVAgrabacion_1.wav"/>
        <s v="6_4_18_2026_Banamex_grabacion_0.wav"/>
        <s v="6_4_18_2026_Banamex_grabacion_1.wav"/>
        <s v="7_4_18_2026_Banamex_grabacion_0.wav"/>
        <s v="7_4_20_2026_Banamex_grabacion_0.wav"/>
        <s v="7_4_23_2026_BBVAgrabacion_0.wav"/>
        <s v="8_4_21_2026_Banamex_grabacion_0.wav"/>
        <s v="8_4_22_2026_BBVAgrabacion_0.wav"/>
        <s v="8_4_23_2026_BBVAgrabacion_0.wav"/>
        <s v="99_12_18_2024_CNOCgrabacion3_d.wav"/>
        <s v="9_4_19_2026_Banamex_grabacion_0.wav"/>
        <s v="9_4_20_2026_Banamex_grabacion_0.wav"/>
      </sharedItems>
    </cacheField>
    <cacheField name="duracion_total" numFmtId="0">
      <sharedItems containsSemiMixedTypes="0" containsString="0" containsNumber="1" containsInteger="1" minValue="30" maxValue="45"/>
    </cacheField>
    <cacheField name="audio_util" numFmtId="0">
      <sharedItems containsSemiMixedTypes="0" containsString="0" containsNumber="1" minValue="0" maxValue="42.247999999999998"/>
    </cacheField>
    <cacheField name="porcentaje_audio" numFmtId="0">
      <sharedItems containsSemiMixedTypes="0" containsString="0" containsNumber="1" minValue="0" maxValue="93.884444444444441"/>
    </cacheField>
    <cacheField name="num_frases" numFmtId="0">
      <sharedItems containsSemiMixedTypes="0" containsString="0" containsNumber="1" containsInteger="1" minValue="0" maxValue="6"/>
    </cacheField>
    <cacheField name="rms_mean" numFmtId="0">
      <sharedItems containsSemiMixedTypes="0" containsString="0" containsNumber="1" minValue="0" maxValue="0.31849518418312073"/>
    </cacheField>
    <cacheField name="rms_std" numFmtId="0">
      <sharedItems containsSemiMixedTypes="0" containsString="0" containsNumber="1" minValue="0" maxValue="0.13125017285346985"/>
    </cacheField>
    <cacheField name="rango_dinamico" numFmtId="0">
      <sharedItems containsSemiMixedTypes="0" containsString="0" containsNumber="1" minValue="0" maxValue="0.63875317573547363"/>
    </cacheField>
    <cacheField name="clase" numFmtId="0">
      <sharedItems count="5">
        <s v="ivr_limpio"/>
        <s v="silencio_real"/>
        <s v="gris"/>
        <s v="sospechoso"/>
        <s v="vac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n v="45"/>
    <n v="15.872"/>
    <n v="35.271111111111111"/>
    <n v="4"/>
    <n v="7.2649590671062469E-2"/>
    <n v="1.9200729206204414E-2"/>
    <n v="7.2515547275543213E-2"/>
    <x v="0"/>
  </r>
  <r>
    <x v="1"/>
    <n v="30"/>
    <n v="0"/>
    <n v="0"/>
    <n v="0"/>
    <n v="0"/>
    <n v="0"/>
    <n v="0"/>
    <x v="1"/>
  </r>
  <r>
    <x v="2"/>
    <n v="30"/>
    <n v="0"/>
    <n v="0"/>
    <n v="0"/>
    <n v="0"/>
    <n v="0"/>
    <n v="0"/>
    <x v="1"/>
  </r>
  <r>
    <x v="3"/>
    <n v="30"/>
    <n v="0"/>
    <n v="0"/>
    <n v="0"/>
    <n v="0"/>
    <n v="0"/>
    <n v="0"/>
    <x v="1"/>
  </r>
  <r>
    <x v="4"/>
    <n v="30"/>
    <n v="0"/>
    <n v="0"/>
    <n v="0"/>
    <n v="0"/>
    <n v="0"/>
    <n v="0"/>
    <x v="1"/>
  </r>
  <r>
    <x v="5"/>
    <n v="30"/>
    <n v="0"/>
    <n v="0"/>
    <n v="0"/>
    <n v="0"/>
    <n v="0"/>
    <n v="0"/>
    <x v="1"/>
  </r>
  <r>
    <x v="6"/>
    <n v="30"/>
    <n v="0"/>
    <n v="0"/>
    <n v="0"/>
    <n v="0"/>
    <n v="0"/>
    <n v="0"/>
    <x v="1"/>
  </r>
  <r>
    <x v="7"/>
    <n v="45"/>
    <n v="27.135999999999999"/>
    <n v="60.302222222222227"/>
    <n v="6"/>
    <n v="0.12240020185709"/>
    <n v="5.889279767870903E-2"/>
    <n v="0.22906979918479919"/>
    <x v="2"/>
  </r>
  <r>
    <x v="8"/>
    <n v="30"/>
    <n v="0"/>
    <n v="0"/>
    <n v="0"/>
    <n v="0"/>
    <n v="0"/>
    <n v="0"/>
    <x v="1"/>
  </r>
  <r>
    <x v="9"/>
    <n v="30"/>
    <n v="0"/>
    <n v="0"/>
    <n v="0"/>
    <n v="0"/>
    <n v="0"/>
    <n v="0"/>
    <x v="1"/>
  </r>
  <r>
    <x v="10"/>
    <n v="45"/>
    <n v="26.207999999999998"/>
    <n v="58.239999999999995"/>
    <n v="6"/>
    <n v="0.13998878002166748"/>
    <n v="6.5348029136657715E-2"/>
    <n v="0.24268767237663269"/>
    <x v="2"/>
  </r>
  <r>
    <x v="11"/>
    <n v="30"/>
    <n v="0"/>
    <n v="0"/>
    <n v="0"/>
    <n v="0"/>
    <n v="0"/>
    <n v="0"/>
    <x v="1"/>
  </r>
  <r>
    <x v="12"/>
    <n v="45"/>
    <n v="11.84"/>
    <n v="26.311111111111114"/>
    <n v="1"/>
    <n v="0.31849518418312073"/>
    <n v="0.13125017285346985"/>
    <n v="0.62687474489212036"/>
    <x v="3"/>
  </r>
  <r>
    <x v="13"/>
    <n v="45"/>
    <n v="27.103999999999999"/>
    <n v="60.231111111111112"/>
    <n v="5"/>
    <n v="0.20224399864673615"/>
    <n v="5.787305161356926E-2"/>
    <n v="0.29722791910171509"/>
    <x v="2"/>
  </r>
  <r>
    <x v="14"/>
    <n v="45"/>
    <n v="17.984000000000002"/>
    <n v="39.964444444444446"/>
    <n v="5"/>
    <n v="0.24554678797721863"/>
    <n v="0.11231619119644165"/>
    <n v="0.5735589861869812"/>
    <x v="3"/>
  </r>
  <r>
    <x v="15"/>
    <n v="30"/>
    <n v="5.6959999999999997"/>
    <n v="18.986666666666665"/>
    <n v="1"/>
    <n v="0"/>
    <n v="0"/>
    <n v="0"/>
    <x v="2"/>
  </r>
  <r>
    <x v="16"/>
    <n v="30"/>
    <n v="6.1760000000000002"/>
    <n v="20.586666666666666"/>
    <n v="1"/>
    <n v="7.6909713447093964E-2"/>
    <n v="6.6921211779117584E-2"/>
    <n v="0.29692307114601135"/>
    <x v="2"/>
  </r>
  <r>
    <x v="17"/>
    <n v="30"/>
    <n v="25.423999999999999"/>
    <n v="84.74666666666667"/>
    <n v="6"/>
    <n v="0.15960307419300079"/>
    <n v="0.12358314543962479"/>
    <n v="0.63875317573547363"/>
    <x v="3"/>
  </r>
  <r>
    <x v="18"/>
    <n v="30"/>
    <n v="25.456"/>
    <n v="84.853333333333339"/>
    <n v="6"/>
    <n v="0.17241261899471283"/>
    <n v="0.12992624938488007"/>
    <n v="0.62941139936447144"/>
    <x v="3"/>
  </r>
  <r>
    <x v="19"/>
    <n v="30"/>
    <n v="25.488"/>
    <n v="84.960000000000008"/>
    <n v="6"/>
    <n v="0.15861353278160095"/>
    <n v="0.12420286983251572"/>
    <n v="0.62709790468215942"/>
    <x v="3"/>
  </r>
  <r>
    <x v="20"/>
    <n v="30"/>
    <n v="25.488"/>
    <n v="84.960000000000008"/>
    <n v="6"/>
    <n v="0.1555953323841095"/>
    <n v="0.1208520233631134"/>
    <n v="0.62213325500488281"/>
    <x v="3"/>
  </r>
  <r>
    <x v="21"/>
    <n v="30"/>
    <n v="25.135999999999999"/>
    <n v="83.786666666666662"/>
    <n v="6"/>
    <n v="0.15809926390647888"/>
    <n v="0.12343672662973404"/>
    <n v="0.62997907400131226"/>
    <x v="3"/>
  </r>
  <r>
    <x v="22"/>
    <n v="30"/>
    <n v="25.52"/>
    <n v="85.066666666666663"/>
    <n v="6"/>
    <n v="0.15288040041923523"/>
    <n v="0.11975608021020889"/>
    <n v="0.62619811296463013"/>
    <x v="3"/>
  </r>
  <r>
    <x v="23"/>
    <n v="30"/>
    <n v="0"/>
    <n v="0"/>
    <n v="0"/>
    <n v="0"/>
    <n v="0"/>
    <n v="0"/>
    <x v="1"/>
  </r>
  <r>
    <x v="24"/>
    <n v="30"/>
    <n v="25.423999999999999"/>
    <n v="84.74666666666667"/>
    <n v="6"/>
    <n v="0.15257327258586884"/>
    <n v="0.11921215057373047"/>
    <n v="0.62577688694000244"/>
    <x v="3"/>
  </r>
  <r>
    <x v="25"/>
    <n v="30"/>
    <n v="25.423999999999999"/>
    <n v="84.74666666666667"/>
    <n v="6"/>
    <n v="0.1634163111448288"/>
    <n v="0.12848827242851257"/>
    <n v="0.62438994646072388"/>
    <x v="3"/>
  </r>
  <r>
    <x v="26"/>
    <n v="30"/>
    <n v="25.456"/>
    <n v="84.853333333333339"/>
    <n v="6"/>
    <n v="0.16637347638607025"/>
    <n v="0.13021974265575409"/>
    <n v="0.62680524587631226"/>
    <x v="3"/>
  </r>
  <r>
    <x v="27"/>
    <n v="30"/>
    <n v="25.44"/>
    <n v="84.800000000000011"/>
    <n v="6"/>
    <n v="0.16686776280403137"/>
    <n v="0.12955456972122192"/>
    <n v="0.62956440448760986"/>
    <x v="3"/>
  </r>
  <r>
    <x v="28"/>
    <n v="30"/>
    <n v="25.423999999999999"/>
    <n v="84.74666666666667"/>
    <n v="6"/>
    <n v="0.1462872177362442"/>
    <n v="0.11512255668640137"/>
    <n v="0.61590570211410522"/>
    <x v="3"/>
  </r>
  <r>
    <x v="29"/>
    <n v="30"/>
    <n v="25.391999999999999"/>
    <n v="84.639999999999986"/>
    <n v="6"/>
    <n v="0.166426882147789"/>
    <n v="0.12946179509162903"/>
    <n v="0.61432284116744995"/>
    <x v="3"/>
  </r>
  <r>
    <x v="30"/>
    <n v="30"/>
    <n v="0.16"/>
    <n v="0.53333333333333333"/>
    <n v="1"/>
    <n v="0"/>
    <n v="0"/>
    <n v="0"/>
    <x v="4"/>
  </r>
  <r>
    <x v="31"/>
    <n v="30"/>
    <n v="6.24"/>
    <n v="20.8"/>
    <n v="1"/>
    <n v="5.8661628514528275E-2"/>
    <n v="5.7659940794110298E-3"/>
    <n v="2.3173987865447998E-2"/>
    <x v="0"/>
  </r>
  <r>
    <x v="32"/>
    <n v="30"/>
    <n v="14.368"/>
    <n v="47.893333333333331"/>
    <n v="4"/>
    <n v="0.10433393716812134"/>
    <n v="4.0309075266122818E-2"/>
    <n v="0.20444652438163757"/>
    <x v="2"/>
  </r>
  <r>
    <x v="33"/>
    <n v="30"/>
    <n v="25.391999999999999"/>
    <n v="84.639999999999986"/>
    <n v="6"/>
    <n v="0.16978415846824646"/>
    <n v="0.1301160603761673"/>
    <n v="0.6115109920501709"/>
    <x v="3"/>
  </r>
  <r>
    <x v="34"/>
    <n v="30"/>
    <n v="7.0720000000000001"/>
    <n v="23.573333333333331"/>
    <n v="1"/>
    <n v="7.9618491232395172E-2"/>
    <n v="7.5845681130886078E-2"/>
    <n v="0.34510070085525513"/>
    <x v="2"/>
  </r>
  <r>
    <x v="35"/>
    <n v="30"/>
    <n v="14.48"/>
    <n v="48.266666666666666"/>
    <n v="5"/>
    <n v="0.10654422640800476"/>
    <n v="4.0873691439628601E-2"/>
    <n v="0.20168177783489227"/>
    <x v="2"/>
  </r>
  <r>
    <x v="36"/>
    <n v="30"/>
    <n v="0"/>
    <n v="0"/>
    <n v="0"/>
    <n v="0"/>
    <n v="0"/>
    <n v="0"/>
    <x v="1"/>
  </r>
  <r>
    <x v="37"/>
    <n v="30"/>
    <n v="6.4"/>
    <n v="21.333333333333336"/>
    <n v="1"/>
    <n v="6.6045552492141724E-2"/>
    <n v="3.3882301300764084E-2"/>
    <n v="0.1680179238319397"/>
    <x v="2"/>
  </r>
  <r>
    <x v="38"/>
    <n v="30"/>
    <n v="13.984"/>
    <n v="46.613333333333337"/>
    <n v="4"/>
    <n v="0.10564420372247696"/>
    <n v="4.2079761624336243E-2"/>
    <n v="0.21386930346488953"/>
    <x v="2"/>
  </r>
  <r>
    <x v="39"/>
    <n v="30"/>
    <n v="25.472000000000001"/>
    <n v="84.90666666666668"/>
    <n v="6"/>
    <n v="0.1677854061126709"/>
    <n v="0.12967042624950409"/>
    <n v="0.61827874183654785"/>
    <x v="3"/>
  </r>
  <r>
    <x v="40"/>
    <n v="30"/>
    <n v="7.04"/>
    <n v="23.466666666666665"/>
    <n v="1"/>
    <n v="6.136447936296463E-2"/>
    <n v="1.3755638152360916E-2"/>
    <n v="6.788218766450882E-2"/>
    <x v="0"/>
  </r>
  <r>
    <x v="41"/>
    <n v="30"/>
    <n v="14.544"/>
    <n v="48.480000000000004"/>
    <n v="5"/>
    <n v="0.105396568775177"/>
    <n v="4.0944736450910568E-2"/>
    <n v="0.20068676769733429"/>
    <x v="2"/>
  </r>
  <r>
    <x v="42"/>
    <n v="30"/>
    <n v="25.36"/>
    <n v="84.533333333333331"/>
    <n v="6"/>
    <n v="0.15255022048950195"/>
    <n v="0.12004119157791138"/>
    <n v="0.62303584814071655"/>
    <x v="3"/>
  </r>
  <r>
    <x v="43"/>
    <n v="30"/>
    <n v="0"/>
    <n v="0"/>
    <n v="0"/>
    <n v="0"/>
    <n v="0"/>
    <n v="0"/>
    <x v="1"/>
  </r>
  <r>
    <x v="44"/>
    <n v="30"/>
    <n v="25.423999999999999"/>
    <n v="84.74666666666667"/>
    <n v="6"/>
    <n v="0.14802038669586182"/>
    <n v="0.11673524230718613"/>
    <n v="0.61582213640213013"/>
    <x v="3"/>
  </r>
  <r>
    <x v="45"/>
    <n v="30"/>
    <n v="0"/>
    <n v="0"/>
    <n v="0"/>
    <n v="0"/>
    <n v="0"/>
    <n v="0"/>
    <x v="1"/>
  </r>
  <r>
    <x v="46"/>
    <n v="30"/>
    <n v="24.8"/>
    <n v="82.666666666666671"/>
    <n v="6"/>
    <n v="0.15635454654693604"/>
    <n v="0.12100066989660263"/>
    <n v="0.62176543474197388"/>
    <x v="3"/>
  </r>
  <r>
    <x v="47"/>
    <n v="30"/>
    <n v="25.135999999999999"/>
    <n v="83.786666666666662"/>
    <n v="6"/>
    <n v="0.15930293500423431"/>
    <n v="0.12405356019735336"/>
    <n v="0.63798815011978149"/>
    <x v="3"/>
  </r>
  <r>
    <x v="48"/>
    <n v="30"/>
    <n v="24.832000000000001"/>
    <n v="82.773333333333326"/>
    <n v="6"/>
    <n v="0.15615314245223999"/>
    <n v="0.12173084169626236"/>
    <n v="0.61503136157989502"/>
    <x v="3"/>
  </r>
  <r>
    <x v="49"/>
    <n v="30"/>
    <n v="24.751999999999999"/>
    <n v="82.506666666666661"/>
    <n v="6"/>
    <n v="0.15703077614307404"/>
    <n v="0.12130050361156464"/>
    <n v="0.62133806943893433"/>
    <x v="3"/>
  </r>
  <r>
    <x v="50"/>
    <n v="30"/>
    <n v="25.103999999999999"/>
    <n v="83.679999999999993"/>
    <n v="6"/>
    <n v="0.16083960235118866"/>
    <n v="0.12519221007823944"/>
    <n v="0.63142317533493042"/>
    <x v="3"/>
  </r>
  <r>
    <x v="51"/>
    <n v="30"/>
    <n v="25.423999999999999"/>
    <n v="84.74666666666667"/>
    <n v="6"/>
    <n v="0.16710425913333893"/>
    <n v="0.12965822219848633"/>
    <n v="0.63354235887527466"/>
    <x v="3"/>
  </r>
  <r>
    <x v="52"/>
    <n v="30"/>
    <n v="25.408000000000001"/>
    <n v="84.693333333333342"/>
    <n v="6"/>
    <n v="0.16721725463867188"/>
    <n v="0.13002829253673553"/>
    <n v="0.63538473844528198"/>
    <x v="3"/>
  </r>
  <r>
    <x v="53"/>
    <n v="30"/>
    <n v="0"/>
    <n v="0"/>
    <n v="0"/>
    <n v="0"/>
    <n v="0"/>
    <n v="0"/>
    <x v="1"/>
  </r>
  <r>
    <x v="54"/>
    <n v="30"/>
    <n v="0"/>
    <n v="0"/>
    <n v="0"/>
    <n v="0"/>
    <n v="0"/>
    <n v="0"/>
    <x v="1"/>
  </r>
  <r>
    <x v="55"/>
    <n v="30"/>
    <n v="0"/>
    <n v="0"/>
    <n v="0"/>
    <n v="0"/>
    <n v="0"/>
    <n v="0"/>
    <x v="1"/>
  </r>
  <r>
    <x v="56"/>
    <n v="45"/>
    <n v="39.911999999999999"/>
    <n v="88.693333333333328"/>
    <n v="2"/>
    <n v="0.22726823389530182"/>
    <n v="9.0538874268531799E-2"/>
    <n v="0.58201426267623901"/>
    <x v="3"/>
  </r>
  <r>
    <x v="57"/>
    <n v="45"/>
    <n v="42.247999999999998"/>
    <n v="93.884444444444441"/>
    <n v="2"/>
    <n v="0.21901822090148926"/>
    <n v="7.5462333858013153E-2"/>
    <n v="0.43437027931213379"/>
    <x v="2"/>
  </r>
  <r>
    <x v="58"/>
    <n v="45"/>
    <n v="36.136000000000003"/>
    <n v="80.302222222222227"/>
    <n v="4"/>
    <n v="0.23700638115406036"/>
    <n v="9.4447225332260132E-2"/>
    <n v="0.56242978572845459"/>
    <x v="3"/>
  </r>
  <r>
    <x v="59"/>
    <n v="45"/>
    <n v="36.423999999999999"/>
    <n v="80.942222222222227"/>
    <n v="4"/>
    <n v="0.23600666224956512"/>
    <n v="9.368123859167099E-2"/>
    <n v="0.57398372888565063"/>
    <x v="3"/>
  </r>
  <r>
    <x v="60"/>
    <n v="45"/>
    <n v="26.815999999999999"/>
    <n v="59.591111111111104"/>
    <n v="5"/>
    <n v="0.19972217082977295"/>
    <n v="5.4343629628419876E-2"/>
    <n v="0.26113694906234741"/>
    <x v="2"/>
  </r>
  <r>
    <x v="61"/>
    <n v="30"/>
    <n v="25.36"/>
    <n v="84.533333333333331"/>
    <n v="6"/>
    <n v="0.15149562060832977"/>
    <n v="0.11899314075708389"/>
    <n v="0.6284712553024292"/>
    <x v="3"/>
  </r>
  <r>
    <x v="62"/>
    <n v="30"/>
    <n v="25.456"/>
    <n v="84.853333333333339"/>
    <n v="6"/>
    <n v="0.15625359117984772"/>
    <n v="0.12054158002138138"/>
    <n v="0.62985503673553467"/>
    <x v="3"/>
  </r>
  <r>
    <x v="63"/>
    <n v="30"/>
    <n v="25.456"/>
    <n v="84.853333333333339"/>
    <n v="6"/>
    <n v="0.15062703192234039"/>
    <n v="0.11761506646871567"/>
    <n v="0.62043136358261108"/>
    <x v="3"/>
  </r>
  <r>
    <x v="64"/>
    <n v="30"/>
    <n v="25.344000000000001"/>
    <n v="84.48"/>
    <n v="6"/>
    <n v="0.15523234009742737"/>
    <n v="0.11987023800611496"/>
    <n v="0.6121717095375061"/>
    <x v="3"/>
  </r>
  <r>
    <x v="65"/>
    <n v="30"/>
    <n v="14.448"/>
    <n v="48.160000000000004"/>
    <n v="5"/>
    <n v="0.10695216059684753"/>
    <n v="4.0145773440599442E-2"/>
    <n v="0.21069639921188354"/>
    <x v="2"/>
  </r>
  <r>
    <x v="66"/>
    <n v="30"/>
    <n v="5.8879999999999999"/>
    <n v="19.626666666666669"/>
    <n v="1"/>
    <n v="0"/>
    <n v="0"/>
    <n v="0"/>
    <x v="2"/>
  </r>
  <r>
    <x v="67"/>
    <n v="30"/>
    <n v="14.96"/>
    <n v="49.866666666666667"/>
    <n v="4"/>
    <n v="0.10615171492099762"/>
    <n v="4.0931649506092072E-2"/>
    <n v="0.20317316055297852"/>
    <x v="2"/>
  </r>
  <r>
    <x v="68"/>
    <n v="30"/>
    <n v="0"/>
    <n v="0"/>
    <n v="0"/>
    <n v="0"/>
    <n v="0"/>
    <n v="0"/>
    <x v="1"/>
  </r>
  <r>
    <x v="69"/>
    <n v="30"/>
    <n v="0"/>
    <n v="0"/>
    <n v="0"/>
    <n v="0"/>
    <n v="0"/>
    <n v="0"/>
    <x v="1"/>
  </r>
  <r>
    <x v="70"/>
    <n v="30"/>
    <n v="25.456"/>
    <n v="84.853333333333339"/>
    <n v="6"/>
    <n v="0.15167658030986786"/>
    <n v="0.11890630424022675"/>
    <n v="0.61506569385528564"/>
    <x v="3"/>
  </r>
  <r>
    <x v="71"/>
    <n v="30"/>
    <n v="0"/>
    <n v="0"/>
    <n v="0"/>
    <n v="0"/>
    <n v="0"/>
    <n v="0"/>
    <x v="1"/>
  </r>
  <r>
    <x v="72"/>
    <n v="30"/>
    <n v="0"/>
    <n v="0"/>
    <n v="0"/>
    <n v="0"/>
    <n v="0"/>
    <n v="0"/>
    <x v="1"/>
  </r>
  <r>
    <x v="73"/>
    <n v="30"/>
    <n v="25.456"/>
    <n v="84.853333333333339"/>
    <n v="6"/>
    <n v="0.15328331291675568"/>
    <n v="0.11927751451730728"/>
    <n v="0.62919104099273682"/>
    <x v="3"/>
  </r>
  <r>
    <x v="74"/>
    <n v="30"/>
    <n v="25.231999999999999"/>
    <n v="84.106666666666669"/>
    <n v="6"/>
    <n v="0.1609983891248703"/>
    <n v="0.12463604658842087"/>
    <n v="0.62270635366439819"/>
    <x v="3"/>
  </r>
  <r>
    <x v="75"/>
    <n v="30"/>
    <n v="25.488"/>
    <n v="84.960000000000008"/>
    <n v="6"/>
    <n v="0.15943519771099091"/>
    <n v="0.12305222451686859"/>
    <n v="0.62189531326293945"/>
    <x v="3"/>
  </r>
  <r>
    <x v="76"/>
    <n v="30"/>
    <n v="25.472000000000001"/>
    <n v="84.90666666666668"/>
    <n v="6"/>
    <n v="0.15727153420448303"/>
    <n v="0.12162341177463531"/>
    <n v="0.61800879240036011"/>
    <x v="3"/>
  </r>
  <r>
    <x v="77"/>
    <n v="30"/>
    <n v="0.16"/>
    <n v="0.53333333333333333"/>
    <n v="1"/>
    <n v="0"/>
    <n v="0"/>
    <n v="0"/>
    <x v="4"/>
  </r>
  <r>
    <x v="78"/>
    <n v="30"/>
    <n v="0.16"/>
    <n v="0.53333333333333333"/>
    <n v="1"/>
    <n v="0"/>
    <n v="0"/>
    <n v="0"/>
    <x v="4"/>
  </r>
  <r>
    <x v="79"/>
    <n v="30"/>
    <n v="0"/>
    <n v="0"/>
    <n v="0"/>
    <n v="0"/>
    <n v="0"/>
    <n v="0"/>
    <x v="1"/>
  </r>
  <r>
    <x v="80"/>
    <n v="30"/>
    <n v="0"/>
    <n v="0"/>
    <n v="0"/>
    <n v="0"/>
    <n v="0"/>
    <n v="0"/>
    <x v="1"/>
  </r>
  <r>
    <x v="81"/>
    <n v="30"/>
    <n v="0.16"/>
    <n v="0.53333333333333333"/>
    <n v="1"/>
    <n v="0"/>
    <n v="0"/>
    <n v="0"/>
    <x v="4"/>
  </r>
  <r>
    <x v="82"/>
    <n v="30"/>
    <n v="0.16"/>
    <n v="0.53333333333333333"/>
    <n v="1"/>
    <n v="0"/>
    <n v="0"/>
    <n v="0"/>
    <x v="4"/>
  </r>
  <r>
    <x v="83"/>
    <n v="30"/>
    <n v="0.16"/>
    <n v="0.53333333333333333"/>
    <n v="1"/>
    <n v="0"/>
    <n v="0"/>
    <n v="0"/>
    <x v="4"/>
  </r>
  <r>
    <x v="84"/>
    <n v="30"/>
    <n v="0.16"/>
    <n v="0.53333333333333333"/>
    <n v="1"/>
    <n v="0"/>
    <n v="0"/>
    <n v="0"/>
    <x v="4"/>
  </r>
  <r>
    <x v="85"/>
    <n v="30"/>
    <n v="0.16"/>
    <n v="0.53333333333333333"/>
    <n v="1"/>
    <n v="0"/>
    <n v="0"/>
    <n v="0"/>
    <x v="4"/>
  </r>
  <r>
    <x v="86"/>
    <n v="30"/>
    <n v="0.16"/>
    <n v="0.53333333333333333"/>
    <n v="1"/>
    <n v="0"/>
    <n v="0"/>
    <n v="0"/>
    <x v="4"/>
  </r>
  <r>
    <x v="87"/>
    <n v="30"/>
    <n v="0"/>
    <n v="0"/>
    <n v="0"/>
    <n v="0"/>
    <n v="0"/>
    <n v="0"/>
    <x v="1"/>
  </r>
  <r>
    <x v="88"/>
    <n v="30"/>
    <n v="0"/>
    <n v="0"/>
    <n v="0"/>
    <n v="0"/>
    <n v="0"/>
    <n v="0"/>
    <x v="1"/>
  </r>
  <r>
    <x v="89"/>
    <n v="30"/>
    <n v="0.16"/>
    <n v="0.53333333333333333"/>
    <n v="1"/>
    <n v="0"/>
    <n v="0"/>
    <n v="0"/>
    <x v="4"/>
  </r>
  <r>
    <x v="90"/>
    <n v="30"/>
    <n v="0.16"/>
    <n v="0.53333333333333333"/>
    <n v="1"/>
    <n v="0"/>
    <n v="0"/>
    <n v="0"/>
    <x v="4"/>
  </r>
  <r>
    <x v="91"/>
    <n v="45"/>
    <n v="38.688000000000002"/>
    <n v="85.973333333333329"/>
    <n v="1"/>
    <n v="0.11441191285848618"/>
    <n v="2.8106586541980505E-3"/>
    <n v="4.6825766563415527E-2"/>
    <x v="0"/>
  </r>
  <r>
    <x v="92"/>
    <n v="30"/>
    <n v="0"/>
    <n v="0"/>
    <n v="0"/>
    <n v="0"/>
    <n v="0"/>
    <n v="0"/>
    <x v="1"/>
  </r>
  <r>
    <x v="93"/>
    <n v="30"/>
    <n v="0.16"/>
    <n v="0.53333333333333333"/>
    <n v="1"/>
    <n v="0"/>
    <n v="0"/>
    <n v="0"/>
    <x v="4"/>
  </r>
  <r>
    <x v="94"/>
    <n v="30"/>
    <n v="0"/>
    <n v="0"/>
    <n v="0"/>
    <n v="0"/>
    <n v="0"/>
    <n v="0"/>
    <x v="1"/>
  </r>
  <r>
    <x v="95"/>
    <n v="30"/>
    <n v="0"/>
    <n v="0"/>
    <n v="0"/>
    <n v="0"/>
    <n v="0"/>
    <n v="0"/>
    <x v="1"/>
  </r>
  <r>
    <x v="96"/>
    <n v="30"/>
    <n v="0"/>
    <n v="0"/>
    <n v="0"/>
    <n v="0"/>
    <n v="0"/>
    <n v="0"/>
    <x v="1"/>
  </r>
  <r>
    <x v="97"/>
    <n v="30"/>
    <n v="0"/>
    <n v="0"/>
    <n v="0"/>
    <n v="0"/>
    <n v="0"/>
    <n v="0"/>
    <x v="1"/>
  </r>
  <r>
    <x v="98"/>
    <n v="30"/>
    <n v="0.128"/>
    <n v="0.42666666666666669"/>
    <n v="1"/>
    <n v="0"/>
    <n v="0"/>
    <n v="0"/>
    <x v="4"/>
  </r>
  <r>
    <x v="99"/>
    <n v="30"/>
    <n v="0"/>
    <n v="0"/>
    <n v="0"/>
    <n v="0"/>
    <n v="0"/>
    <n v="0"/>
    <x v="1"/>
  </r>
  <r>
    <x v="100"/>
    <n v="30"/>
    <n v="0"/>
    <n v="0"/>
    <n v="0"/>
    <n v="0"/>
    <n v="0"/>
    <n v="0"/>
    <x v="1"/>
  </r>
  <r>
    <x v="101"/>
    <n v="30"/>
    <n v="0.16"/>
    <n v="0.53333333333333333"/>
    <n v="1"/>
    <n v="0"/>
    <n v="0"/>
    <n v="0"/>
    <x v="4"/>
  </r>
  <r>
    <x v="102"/>
    <n v="30"/>
    <n v="0"/>
    <n v="0"/>
    <n v="0"/>
    <n v="0"/>
    <n v="0"/>
    <n v="0"/>
    <x v="1"/>
  </r>
  <r>
    <x v="103"/>
    <n v="30"/>
    <n v="0"/>
    <n v="0"/>
    <n v="0"/>
    <n v="0"/>
    <n v="0"/>
    <n v="0"/>
    <x v="1"/>
  </r>
  <r>
    <x v="104"/>
    <n v="30"/>
    <n v="0.16"/>
    <n v="0.53333333333333333"/>
    <n v="1"/>
    <n v="0"/>
    <n v="0"/>
    <n v="0"/>
    <x v="4"/>
  </r>
  <r>
    <x v="105"/>
    <n v="30"/>
    <n v="0"/>
    <n v="0"/>
    <n v="0"/>
    <n v="0"/>
    <n v="0"/>
    <n v="0"/>
    <x v="1"/>
  </r>
  <r>
    <x v="106"/>
    <n v="45"/>
    <n v="27.72"/>
    <n v="61.6"/>
    <n v="5"/>
    <n v="0.15192466974258423"/>
    <n v="6.6722124814987183E-2"/>
    <n v="0.2661348283290863"/>
    <x v="2"/>
  </r>
  <r>
    <x v="107"/>
    <n v="30"/>
    <n v="0"/>
    <n v="0"/>
    <n v="0"/>
    <n v="0"/>
    <n v="0"/>
    <n v="0"/>
    <x v="1"/>
  </r>
  <r>
    <x v="108"/>
    <n v="30"/>
    <n v="0"/>
    <n v="0"/>
    <n v="0"/>
    <n v="0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E294D-5E25-46E8-AE0F-BC1652CB808F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A1:B7" firstHeaderRow="1" firstDataRow="1" firstDataCol="1"/>
  <pivotFields count="9">
    <pivotField dataField="1" showAll="0">
      <items count="110"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42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4"/>
        <item x="43"/>
        <item x="45"/>
        <item x="46"/>
        <item x="47"/>
        <item x="48"/>
        <item x="49"/>
        <item x="50"/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56"/>
        <item x="57"/>
        <item x="58"/>
        <item x="59"/>
        <item x="60"/>
        <item x="61"/>
        <item x="62"/>
        <item x="63"/>
        <item x="64"/>
        <item x="70"/>
        <item x="65"/>
        <item x="66"/>
        <item x="67"/>
        <item x="68"/>
        <item x="69"/>
        <item x="73"/>
        <item x="71"/>
        <item x="72"/>
        <item x="74"/>
        <item x="75"/>
        <item x="76"/>
        <item x="53"/>
        <item x="54"/>
        <item x="55"/>
        <item x="85"/>
        <item x="86"/>
        <item x="87"/>
        <item x="88"/>
        <item x="89"/>
        <item x="77"/>
        <item x="78"/>
        <item x="79"/>
        <item x="80"/>
        <item x="81"/>
        <item x="82"/>
        <item x="83"/>
        <item x="84"/>
        <item x="94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8"/>
        <item x="10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 v="3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name="Cuenta de archivo" fld="0" subtotal="count" baseField="8" baseItem="0"/>
  </dataFields>
  <formats count="1">
    <format dxfId="5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9382F-5A82-4647-B97A-2F6457F604C2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G9:H15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 v="3"/>
    </i>
    <i>
      <x/>
    </i>
    <i>
      <x v="1"/>
    </i>
    <i>
      <x v="4"/>
    </i>
    <i>
      <x v="2"/>
    </i>
    <i t="grand">
      <x/>
    </i>
  </rowItems>
  <colItems count="1">
    <i/>
  </colItems>
  <dataFields count="1">
    <dataField name="Promedio de rango_dinamico" fld="7" subtotal="average" baseField="8" baseItem="0" numFmtId="2"/>
  </dataFields>
  <formats count="1">
    <format dxfId="6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ED15C-36D8-4329-A059-71F5745036A7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G1:H7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 v="3"/>
    </i>
    <i>
      <x/>
    </i>
    <i>
      <x v="1"/>
    </i>
    <i>
      <x v="4"/>
    </i>
    <i>
      <x v="2"/>
    </i>
    <i t="grand">
      <x/>
    </i>
  </rowItems>
  <colItems count="1">
    <i/>
  </colItems>
  <dataFields count="1">
    <dataField name="Promedio de rms_mean" fld="5" subtotal="average" baseField="8" baseItem="0" numFmtId="2"/>
  </dataFields>
  <formats count="1">
    <format dxfId="7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0E14F-F50F-4C6F-A6FE-9F83A72CB60D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5:B31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 v="3"/>
    </i>
    <i>
      <x/>
    </i>
    <i>
      <x v="1"/>
    </i>
    <i>
      <x v="4"/>
    </i>
    <i>
      <x v="2"/>
    </i>
    <i t="grand">
      <x/>
    </i>
  </rowItems>
  <colItems count="1">
    <i/>
  </colItems>
  <dataFields count="1">
    <dataField name="Promedio de num_frases" fld="4" subtotal="average" baseField="8" baseItem="0" numFmtId="2"/>
  </dataFields>
  <formats count="1">
    <format dxfId="8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BE6-061D-4A71-BADD-A58488E8DC1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7:B23" firstHeaderRow="1" firstDataRow="1" firstDataCol="1"/>
  <pivotFields count="9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 v="3"/>
    </i>
    <i>
      <x/>
    </i>
    <i>
      <x v="1"/>
    </i>
    <i>
      <x v="4"/>
    </i>
    <i>
      <x v="2"/>
    </i>
    <i t="grand">
      <x/>
    </i>
  </rowItems>
  <colItems count="1">
    <i/>
  </colItems>
  <dataFields count="1">
    <dataField name="Promedio de porcentaje_audio" fld="3" subtotal="average" baseField="8" baseItem="0" numFmtId="2"/>
  </dataFields>
  <formats count="1">
    <format dxfId="9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D89C8-B2C5-436B-A7A6-00949C0CF38A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9:B15" firstHeaderRow="1" firstDataRow="1" firstDataCol="1"/>
  <pivotFields count="9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 v="1"/>
    </i>
    <i>
      <x/>
    </i>
    <i>
      <x v="3"/>
    </i>
    <i>
      <x v="4"/>
    </i>
    <i>
      <x v="2"/>
    </i>
    <i t="grand">
      <x/>
    </i>
  </rowItems>
  <colItems count="1">
    <i/>
  </colItems>
  <dataFields count="1">
    <dataField name="Promedio de duracion_total" fld="1" subtotal="average" baseField="8" baseItem="0" numFmtId="2"/>
  </dataFields>
  <formats count="1">
    <format dxfId="10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08621-9508-4FAA-9A81-A351E94F665F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2" firstHeaderRow="1" firstDataRow="1" firstDataCol="0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uenta de archiv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D407A-CD62-4BFC-9BBB-7DA5E8C0B3B3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:G2" firstHeaderRow="1" firstDataRow="1" firstDataCol="0"/>
  <pivotFields count="9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Promedio de num_frases" fld="4" subtotal="average" baseField="0" baseItem="0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98017-AD71-4C3B-BA01-CD69F6A6322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B12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archiv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0ADA5-AC3B-4AEA-8EAB-E260EA0646C7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:E2" firstHeaderRow="1" firstDataRow="1" firstDataCol="0"/>
  <pivotFields count="9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Promedio de audio_util" fld="2" subtotal="average" baseField="0" baseItem="0" numFmtId="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2F945-EA55-411B-B497-F50F24C192F2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:C2" firstHeaderRow="1" firstDataRow="1" firstDataCol="0"/>
  <pivotFields count="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Promedio de duracion_total" fld="1" subtotal="average" baseField="0" baseItem="0" numFmtId="2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6AA179-D887-4610-AE12-696178FDDF19}" autoFormatId="16" applyNumberFormats="0" applyBorderFormats="0" applyFontFormats="0" applyPatternFormats="0" applyAlignmentFormats="0" applyWidthHeightFormats="0">
  <queryTableRefresh nextId="10">
    <queryTableFields count="9">
      <queryTableField id="1" name="archivo" tableColumnId="1"/>
      <queryTableField id="2" name="duracion_total" tableColumnId="2"/>
      <queryTableField id="3" name="audio_util" tableColumnId="3"/>
      <queryTableField id="4" name="porcentaje_audio" tableColumnId="4"/>
      <queryTableField id="5" name="num_frases" tableColumnId="5"/>
      <queryTableField id="6" name="rms_mean" tableColumnId="6"/>
      <queryTableField id="7" name="rms_std" tableColumnId="7"/>
      <queryTableField id="8" name="rango_dinamico" tableColumnId="8"/>
      <queryTableField id="9" name="clas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D7BD8-F75B-471E-B075-A67546396775}" name="reporte_audio" displayName="reporte_audio" ref="A1:I110" tableType="queryTable" totalsRowShown="0">
  <autoFilter ref="A1:I110" xr:uid="{B83D7BD8-F75B-471E-B075-A67546396775}"/>
  <tableColumns count="9">
    <tableColumn id="1" xr3:uid="{79A11BED-B698-4F9F-8905-9842B59F3200}" uniqueName="1" name="archivo" queryTableFieldId="1" dataDxfId="12"/>
    <tableColumn id="2" xr3:uid="{DB4D38FA-E5C7-4E85-B40E-72A796FAB165}" uniqueName="2" name="duracion_total" queryTableFieldId="2"/>
    <tableColumn id="3" xr3:uid="{5104E580-79D5-4494-9775-00099D271D40}" uniqueName="3" name="audio_util" queryTableFieldId="3"/>
    <tableColumn id="4" xr3:uid="{CD2A45F1-8A3D-4548-B2A4-B2CDE4EF672D}" uniqueName="4" name="porcentaje_audio" queryTableFieldId="4"/>
    <tableColumn id="5" xr3:uid="{C6E7A322-63D5-4C5E-AD47-439158D5B8EB}" uniqueName="5" name="num_frases" queryTableFieldId="5"/>
    <tableColumn id="6" xr3:uid="{4DA739D6-23B1-481D-BB65-E261A93B69A7}" uniqueName="6" name="rms_mean" queryTableFieldId="6"/>
    <tableColumn id="7" xr3:uid="{4BFD6776-3628-4B48-9E47-9D40783BCE1A}" uniqueName="7" name="rms_std" queryTableFieldId="7"/>
    <tableColumn id="8" xr3:uid="{571D859D-4002-4D84-850E-8613DB16ABD6}" uniqueName="8" name="rango_dinamico" queryTableFieldId="8"/>
    <tableColumn id="9" xr3:uid="{C25E7E8C-FDE9-4A06-8015-DD908E57CB66}" uniqueName="9" name="clase" queryTableFieldId="9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E96FCA-B4C3-40E4-874C-C4B3C0145522}" name="Tabla2" displayName="Tabla2" ref="E7:E8" totalsRowShown="0">
  <autoFilter ref="E7:E8" xr:uid="{92E96FCA-B4C3-40E4-874C-C4B3C0145522}"/>
  <tableColumns count="1">
    <tableColumn id="1" xr3:uid="{15C3B023-3C19-4CD7-826F-30055574A060}" name="Audios utiles ">
      <calculatedColumnFormula>C7+C8+C10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C9E3F2-EEE9-467F-83D9-6F73364A5CDF}" name="Tabla3" displayName="Tabla3" ref="F7:F8" totalsRowShown="0">
  <autoFilter ref="F7:F8" xr:uid="{28C9E3F2-EEE9-467F-83D9-6F73364A5CDF}"/>
  <tableColumns count="1">
    <tableColumn id="1" xr3:uid="{8AF93ABB-2142-4E05-AD7D-F597A9ACB4AB}" name="Audios descartados">
      <calculatedColumnFormula>C9+C11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CEB63E-F535-40FE-8564-1CB623651A74}" name="Tabla4" displayName="Tabla4" ref="E10:E11" totalsRowShown="0" dataDxfId="1">
  <autoFilter ref="E10:E11" xr:uid="{41CEB63E-F535-40FE-8564-1CB623651A74}"/>
  <tableColumns count="1">
    <tableColumn id="1" xr3:uid="{9C43B074-55BA-42C5-8A1A-DFD4490C5842}" name="Tasa de aprovechamiento" dataDxfId="0">
      <calculatedColumnFormula array="1">Tabla2[[Audios utiles ]]/A4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9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table" Target="../tables/table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9372-BF80-475D-B507-1CB2803229FD}">
  <dimension ref="A1:I110"/>
  <sheetViews>
    <sheetView workbookViewId="0"/>
  </sheetViews>
  <sheetFormatPr baseColWidth="10" defaultRowHeight="14.4" x14ac:dyDescent="0.3"/>
  <cols>
    <col min="1" max="1" width="35.21875" bestFit="1" customWidth="1"/>
    <col min="2" max="2" width="15.21875" bestFit="1" customWidth="1"/>
    <col min="3" max="3" width="11.44140625" bestFit="1" customWidth="1"/>
    <col min="4" max="4" width="17.6640625" bestFit="1" customWidth="1"/>
    <col min="5" max="5" width="12.6640625" bestFit="1" customWidth="1"/>
    <col min="6" max="7" width="12" bestFit="1" customWidth="1"/>
    <col min="8" max="8" width="16.44140625" bestFit="1" customWidth="1"/>
    <col min="9" max="9" width="1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45</v>
      </c>
      <c r="C2">
        <v>15.872</v>
      </c>
      <c r="D2">
        <v>35.271111111111111</v>
      </c>
      <c r="E2">
        <v>4</v>
      </c>
      <c r="F2">
        <v>7.2649590671062469E-2</v>
      </c>
      <c r="G2">
        <v>1.9200729206204414E-2</v>
      </c>
      <c r="H2">
        <v>7.2515547275543213E-2</v>
      </c>
      <c r="I2" t="s">
        <v>10</v>
      </c>
    </row>
    <row r="3" spans="1:9" x14ac:dyDescent="0.3">
      <c r="A3" t="s">
        <v>11</v>
      </c>
      <c r="B3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12</v>
      </c>
    </row>
    <row r="4" spans="1:9" x14ac:dyDescent="0.3">
      <c r="A4" t="s">
        <v>13</v>
      </c>
      <c r="B4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12</v>
      </c>
    </row>
    <row r="5" spans="1:9" x14ac:dyDescent="0.3">
      <c r="A5" t="s">
        <v>14</v>
      </c>
      <c r="B5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12</v>
      </c>
    </row>
    <row r="6" spans="1:9" x14ac:dyDescent="0.3">
      <c r="A6" t="s">
        <v>15</v>
      </c>
      <c r="B6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12</v>
      </c>
    </row>
    <row r="7" spans="1:9" x14ac:dyDescent="0.3">
      <c r="A7" t="s">
        <v>16</v>
      </c>
      <c r="B7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12</v>
      </c>
    </row>
    <row r="8" spans="1:9" x14ac:dyDescent="0.3">
      <c r="A8" t="s">
        <v>17</v>
      </c>
      <c r="B8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12</v>
      </c>
    </row>
    <row r="9" spans="1:9" x14ac:dyDescent="0.3">
      <c r="A9" t="s">
        <v>18</v>
      </c>
      <c r="B9">
        <v>45</v>
      </c>
      <c r="C9">
        <v>27.135999999999999</v>
      </c>
      <c r="D9">
        <v>60.302222222222227</v>
      </c>
      <c r="E9">
        <v>6</v>
      </c>
      <c r="F9">
        <v>0.12240020185709</v>
      </c>
      <c r="G9">
        <v>5.889279767870903E-2</v>
      </c>
      <c r="H9">
        <v>0.22906979918479919</v>
      </c>
      <c r="I9" t="s">
        <v>19</v>
      </c>
    </row>
    <row r="10" spans="1:9" x14ac:dyDescent="0.3">
      <c r="A10" t="s">
        <v>20</v>
      </c>
      <c r="B10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12</v>
      </c>
    </row>
    <row r="11" spans="1:9" x14ac:dyDescent="0.3">
      <c r="A11" t="s">
        <v>21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12</v>
      </c>
    </row>
    <row r="12" spans="1:9" x14ac:dyDescent="0.3">
      <c r="A12" t="s">
        <v>22</v>
      </c>
      <c r="B12">
        <v>45</v>
      </c>
      <c r="C12">
        <v>26.207999999999998</v>
      </c>
      <c r="D12">
        <v>58.239999999999995</v>
      </c>
      <c r="E12">
        <v>6</v>
      </c>
      <c r="F12">
        <v>0.13998878002166748</v>
      </c>
      <c r="G12">
        <v>6.5348029136657715E-2</v>
      </c>
      <c r="H12">
        <v>0.24268767237663269</v>
      </c>
      <c r="I12" t="s">
        <v>19</v>
      </c>
    </row>
    <row r="13" spans="1:9" x14ac:dyDescent="0.3">
      <c r="A13" t="s">
        <v>23</v>
      </c>
      <c r="B13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12</v>
      </c>
    </row>
    <row r="14" spans="1:9" x14ac:dyDescent="0.3">
      <c r="A14" t="s">
        <v>24</v>
      </c>
      <c r="B14">
        <v>45</v>
      </c>
      <c r="C14">
        <v>11.84</v>
      </c>
      <c r="D14">
        <v>26.311111111111114</v>
      </c>
      <c r="E14">
        <v>1</v>
      </c>
      <c r="F14">
        <v>0.31849518418312073</v>
      </c>
      <c r="G14">
        <v>0.13125017285346985</v>
      </c>
      <c r="H14">
        <v>0.62687474489212036</v>
      </c>
      <c r="I14" t="s">
        <v>25</v>
      </c>
    </row>
    <row r="15" spans="1:9" x14ac:dyDescent="0.3">
      <c r="A15" t="s">
        <v>26</v>
      </c>
      <c r="B15">
        <v>45</v>
      </c>
      <c r="C15">
        <v>27.103999999999999</v>
      </c>
      <c r="D15">
        <v>60.231111111111112</v>
      </c>
      <c r="E15">
        <v>5</v>
      </c>
      <c r="F15">
        <v>0.20224399864673615</v>
      </c>
      <c r="G15">
        <v>5.787305161356926E-2</v>
      </c>
      <c r="H15">
        <v>0.29722791910171509</v>
      </c>
      <c r="I15" t="s">
        <v>19</v>
      </c>
    </row>
    <row r="16" spans="1:9" x14ac:dyDescent="0.3">
      <c r="A16" t="s">
        <v>27</v>
      </c>
      <c r="B16">
        <v>45</v>
      </c>
      <c r="C16">
        <v>17.984000000000002</v>
      </c>
      <c r="D16">
        <v>39.964444444444446</v>
      </c>
      <c r="E16">
        <v>5</v>
      </c>
      <c r="F16">
        <v>0.24554678797721863</v>
      </c>
      <c r="G16">
        <v>0.11231619119644165</v>
      </c>
      <c r="H16">
        <v>0.5735589861869812</v>
      </c>
      <c r="I16" t="s">
        <v>25</v>
      </c>
    </row>
    <row r="17" spans="1:9" x14ac:dyDescent="0.3">
      <c r="A17" t="s">
        <v>28</v>
      </c>
      <c r="B17">
        <v>30</v>
      </c>
      <c r="C17">
        <v>5.6959999999999997</v>
      </c>
      <c r="D17">
        <v>18.986666666666665</v>
      </c>
      <c r="E17">
        <v>1</v>
      </c>
      <c r="F17">
        <v>0</v>
      </c>
      <c r="G17">
        <v>0</v>
      </c>
      <c r="H17">
        <v>0</v>
      </c>
      <c r="I17" t="s">
        <v>19</v>
      </c>
    </row>
    <row r="18" spans="1:9" x14ac:dyDescent="0.3">
      <c r="A18" t="s">
        <v>29</v>
      </c>
      <c r="B18">
        <v>30</v>
      </c>
      <c r="C18">
        <v>6.1760000000000002</v>
      </c>
      <c r="D18">
        <v>20.586666666666666</v>
      </c>
      <c r="E18">
        <v>1</v>
      </c>
      <c r="F18">
        <v>7.6909713447093964E-2</v>
      </c>
      <c r="G18">
        <v>6.6921211779117584E-2</v>
      </c>
      <c r="H18">
        <v>0.29692307114601135</v>
      </c>
      <c r="I18" t="s">
        <v>19</v>
      </c>
    </row>
    <row r="19" spans="1:9" x14ac:dyDescent="0.3">
      <c r="A19" t="s">
        <v>30</v>
      </c>
      <c r="B19">
        <v>30</v>
      </c>
      <c r="C19">
        <v>25.423999999999999</v>
      </c>
      <c r="D19">
        <v>84.74666666666667</v>
      </c>
      <c r="E19">
        <v>6</v>
      </c>
      <c r="F19">
        <v>0.15960307419300079</v>
      </c>
      <c r="G19">
        <v>0.12358314543962479</v>
      </c>
      <c r="H19">
        <v>0.63875317573547363</v>
      </c>
      <c r="I19" t="s">
        <v>25</v>
      </c>
    </row>
    <row r="20" spans="1:9" x14ac:dyDescent="0.3">
      <c r="A20" t="s">
        <v>31</v>
      </c>
      <c r="B20">
        <v>30</v>
      </c>
      <c r="C20">
        <v>25.456</v>
      </c>
      <c r="D20">
        <v>84.853333333333339</v>
      </c>
      <c r="E20">
        <v>6</v>
      </c>
      <c r="F20">
        <v>0.17241261899471283</v>
      </c>
      <c r="G20">
        <v>0.12992624938488007</v>
      </c>
      <c r="H20">
        <v>0.62941139936447144</v>
      </c>
      <c r="I20" t="s">
        <v>25</v>
      </c>
    </row>
    <row r="21" spans="1:9" x14ac:dyDescent="0.3">
      <c r="A21" t="s">
        <v>32</v>
      </c>
      <c r="B21">
        <v>30</v>
      </c>
      <c r="C21">
        <v>25.488</v>
      </c>
      <c r="D21">
        <v>84.960000000000008</v>
      </c>
      <c r="E21">
        <v>6</v>
      </c>
      <c r="F21">
        <v>0.15861353278160095</v>
      </c>
      <c r="G21">
        <v>0.12420286983251572</v>
      </c>
      <c r="H21">
        <v>0.62709790468215942</v>
      </c>
      <c r="I21" t="s">
        <v>25</v>
      </c>
    </row>
    <row r="22" spans="1:9" x14ac:dyDescent="0.3">
      <c r="A22" t="s">
        <v>33</v>
      </c>
      <c r="B22">
        <v>30</v>
      </c>
      <c r="C22">
        <v>25.488</v>
      </c>
      <c r="D22">
        <v>84.960000000000008</v>
      </c>
      <c r="E22">
        <v>6</v>
      </c>
      <c r="F22">
        <v>0.1555953323841095</v>
      </c>
      <c r="G22">
        <v>0.1208520233631134</v>
      </c>
      <c r="H22">
        <v>0.62213325500488281</v>
      </c>
      <c r="I22" t="s">
        <v>25</v>
      </c>
    </row>
    <row r="23" spans="1:9" x14ac:dyDescent="0.3">
      <c r="A23" t="s">
        <v>34</v>
      </c>
      <c r="B23">
        <v>30</v>
      </c>
      <c r="C23">
        <v>25.135999999999999</v>
      </c>
      <c r="D23">
        <v>83.786666666666662</v>
      </c>
      <c r="E23">
        <v>6</v>
      </c>
      <c r="F23">
        <v>0.15809926390647888</v>
      </c>
      <c r="G23">
        <v>0.12343672662973404</v>
      </c>
      <c r="H23">
        <v>0.62997907400131226</v>
      </c>
      <c r="I23" t="s">
        <v>25</v>
      </c>
    </row>
    <row r="24" spans="1:9" x14ac:dyDescent="0.3">
      <c r="A24" t="s">
        <v>35</v>
      </c>
      <c r="B24">
        <v>30</v>
      </c>
      <c r="C24">
        <v>25.52</v>
      </c>
      <c r="D24">
        <v>85.066666666666663</v>
      </c>
      <c r="E24">
        <v>6</v>
      </c>
      <c r="F24">
        <v>0.15288040041923523</v>
      </c>
      <c r="G24">
        <v>0.11975608021020889</v>
      </c>
      <c r="H24">
        <v>0.62619811296463013</v>
      </c>
      <c r="I24" t="s">
        <v>25</v>
      </c>
    </row>
    <row r="25" spans="1:9" x14ac:dyDescent="0.3">
      <c r="A25" t="s">
        <v>36</v>
      </c>
      <c r="B25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12</v>
      </c>
    </row>
    <row r="26" spans="1:9" x14ac:dyDescent="0.3">
      <c r="A26" t="s">
        <v>37</v>
      </c>
      <c r="B26">
        <v>30</v>
      </c>
      <c r="C26">
        <v>25.423999999999999</v>
      </c>
      <c r="D26">
        <v>84.74666666666667</v>
      </c>
      <c r="E26">
        <v>6</v>
      </c>
      <c r="F26">
        <v>0.15257327258586884</v>
      </c>
      <c r="G26">
        <v>0.11921215057373047</v>
      </c>
      <c r="H26">
        <v>0.62577688694000244</v>
      </c>
      <c r="I26" t="s">
        <v>25</v>
      </c>
    </row>
    <row r="27" spans="1:9" x14ac:dyDescent="0.3">
      <c r="A27" t="s">
        <v>38</v>
      </c>
      <c r="B27">
        <v>30</v>
      </c>
      <c r="C27">
        <v>25.423999999999999</v>
      </c>
      <c r="D27">
        <v>84.74666666666667</v>
      </c>
      <c r="E27">
        <v>6</v>
      </c>
      <c r="F27">
        <v>0.1634163111448288</v>
      </c>
      <c r="G27">
        <v>0.12848827242851257</v>
      </c>
      <c r="H27">
        <v>0.62438994646072388</v>
      </c>
      <c r="I27" t="s">
        <v>25</v>
      </c>
    </row>
    <row r="28" spans="1:9" x14ac:dyDescent="0.3">
      <c r="A28" t="s">
        <v>39</v>
      </c>
      <c r="B28">
        <v>30</v>
      </c>
      <c r="C28">
        <v>25.456</v>
      </c>
      <c r="D28">
        <v>84.853333333333339</v>
      </c>
      <c r="E28">
        <v>6</v>
      </c>
      <c r="F28">
        <v>0.16637347638607025</v>
      </c>
      <c r="G28">
        <v>0.13021974265575409</v>
      </c>
      <c r="H28">
        <v>0.62680524587631226</v>
      </c>
      <c r="I28" t="s">
        <v>25</v>
      </c>
    </row>
    <row r="29" spans="1:9" x14ac:dyDescent="0.3">
      <c r="A29" t="s">
        <v>40</v>
      </c>
      <c r="B29">
        <v>30</v>
      </c>
      <c r="C29">
        <v>25.44</v>
      </c>
      <c r="D29">
        <v>84.800000000000011</v>
      </c>
      <c r="E29">
        <v>6</v>
      </c>
      <c r="F29">
        <v>0.16686776280403137</v>
      </c>
      <c r="G29">
        <v>0.12955456972122192</v>
      </c>
      <c r="H29">
        <v>0.62956440448760986</v>
      </c>
      <c r="I29" t="s">
        <v>25</v>
      </c>
    </row>
    <row r="30" spans="1:9" x14ac:dyDescent="0.3">
      <c r="A30" t="s">
        <v>41</v>
      </c>
      <c r="B30">
        <v>30</v>
      </c>
      <c r="C30">
        <v>25.423999999999999</v>
      </c>
      <c r="D30">
        <v>84.74666666666667</v>
      </c>
      <c r="E30">
        <v>6</v>
      </c>
      <c r="F30">
        <v>0.1462872177362442</v>
      </c>
      <c r="G30">
        <v>0.11512255668640137</v>
      </c>
      <c r="H30">
        <v>0.61590570211410522</v>
      </c>
      <c r="I30" t="s">
        <v>25</v>
      </c>
    </row>
    <row r="31" spans="1:9" x14ac:dyDescent="0.3">
      <c r="A31" t="s">
        <v>42</v>
      </c>
      <c r="B31">
        <v>30</v>
      </c>
      <c r="C31">
        <v>25.391999999999999</v>
      </c>
      <c r="D31">
        <v>84.639999999999986</v>
      </c>
      <c r="E31">
        <v>6</v>
      </c>
      <c r="F31">
        <v>0.166426882147789</v>
      </c>
      <c r="G31">
        <v>0.12946179509162903</v>
      </c>
      <c r="H31">
        <v>0.61432284116744995</v>
      </c>
      <c r="I31" t="s">
        <v>25</v>
      </c>
    </row>
    <row r="32" spans="1:9" x14ac:dyDescent="0.3">
      <c r="A32" t="s">
        <v>43</v>
      </c>
      <c r="B32">
        <v>30</v>
      </c>
      <c r="C32">
        <v>0.16</v>
      </c>
      <c r="D32">
        <v>0.53333333333333333</v>
      </c>
      <c r="E32">
        <v>1</v>
      </c>
      <c r="F32">
        <v>0</v>
      </c>
      <c r="G32">
        <v>0</v>
      </c>
      <c r="H32">
        <v>0</v>
      </c>
      <c r="I32" t="s">
        <v>44</v>
      </c>
    </row>
    <row r="33" spans="1:9" x14ac:dyDescent="0.3">
      <c r="A33" t="s">
        <v>45</v>
      </c>
      <c r="B33">
        <v>30</v>
      </c>
      <c r="C33">
        <v>6.24</v>
      </c>
      <c r="D33">
        <v>20.8</v>
      </c>
      <c r="E33">
        <v>1</v>
      </c>
      <c r="F33">
        <v>5.8661628514528275E-2</v>
      </c>
      <c r="G33">
        <v>5.7659940794110298E-3</v>
      </c>
      <c r="H33">
        <v>2.3173987865447998E-2</v>
      </c>
      <c r="I33" t="s">
        <v>10</v>
      </c>
    </row>
    <row r="34" spans="1:9" x14ac:dyDescent="0.3">
      <c r="A34" t="s">
        <v>46</v>
      </c>
      <c r="B34">
        <v>30</v>
      </c>
      <c r="C34">
        <v>14.368</v>
      </c>
      <c r="D34">
        <v>47.893333333333331</v>
      </c>
      <c r="E34">
        <v>4</v>
      </c>
      <c r="F34">
        <v>0.10433393716812134</v>
      </c>
      <c r="G34">
        <v>4.0309075266122818E-2</v>
      </c>
      <c r="H34">
        <v>0.20444652438163757</v>
      </c>
      <c r="I34" t="s">
        <v>19</v>
      </c>
    </row>
    <row r="35" spans="1:9" x14ac:dyDescent="0.3">
      <c r="A35" t="s">
        <v>47</v>
      </c>
      <c r="B35">
        <v>30</v>
      </c>
      <c r="C35">
        <v>25.391999999999999</v>
      </c>
      <c r="D35">
        <v>84.639999999999986</v>
      </c>
      <c r="E35">
        <v>6</v>
      </c>
      <c r="F35">
        <v>0.16978415846824646</v>
      </c>
      <c r="G35">
        <v>0.1301160603761673</v>
      </c>
      <c r="H35">
        <v>0.6115109920501709</v>
      </c>
      <c r="I35" t="s">
        <v>25</v>
      </c>
    </row>
    <row r="36" spans="1:9" x14ac:dyDescent="0.3">
      <c r="A36" t="s">
        <v>48</v>
      </c>
      <c r="B36">
        <v>30</v>
      </c>
      <c r="C36">
        <v>7.0720000000000001</v>
      </c>
      <c r="D36">
        <v>23.573333333333331</v>
      </c>
      <c r="E36">
        <v>1</v>
      </c>
      <c r="F36">
        <v>7.9618491232395172E-2</v>
      </c>
      <c r="G36">
        <v>7.5845681130886078E-2</v>
      </c>
      <c r="H36">
        <v>0.34510070085525513</v>
      </c>
      <c r="I36" t="s">
        <v>19</v>
      </c>
    </row>
    <row r="37" spans="1:9" x14ac:dyDescent="0.3">
      <c r="A37" t="s">
        <v>49</v>
      </c>
      <c r="B37">
        <v>30</v>
      </c>
      <c r="C37">
        <v>14.48</v>
      </c>
      <c r="D37">
        <v>48.266666666666666</v>
      </c>
      <c r="E37">
        <v>5</v>
      </c>
      <c r="F37">
        <v>0.10654422640800476</v>
      </c>
      <c r="G37">
        <v>4.0873691439628601E-2</v>
      </c>
      <c r="H37">
        <v>0.20168177783489227</v>
      </c>
      <c r="I37" t="s">
        <v>19</v>
      </c>
    </row>
    <row r="38" spans="1:9" x14ac:dyDescent="0.3">
      <c r="A38" t="s">
        <v>50</v>
      </c>
      <c r="B38">
        <v>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12</v>
      </c>
    </row>
    <row r="39" spans="1:9" x14ac:dyDescent="0.3">
      <c r="A39" t="s">
        <v>51</v>
      </c>
      <c r="B39">
        <v>30</v>
      </c>
      <c r="C39">
        <v>6.4</v>
      </c>
      <c r="D39">
        <v>21.333333333333336</v>
      </c>
      <c r="E39">
        <v>1</v>
      </c>
      <c r="F39">
        <v>6.6045552492141724E-2</v>
      </c>
      <c r="G39">
        <v>3.3882301300764084E-2</v>
      </c>
      <c r="H39">
        <v>0.1680179238319397</v>
      </c>
      <c r="I39" t="s">
        <v>19</v>
      </c>
    </row>
    <row r="40" spans="1:9" x14ac:dyDescent="0.3">
      <c r="A40" t="s">
        <v>52</v>
      </c>
      <c r="B40">
        <v>30</v>
      </c>
      <c r="C40">
        <v>13.984</v>
      </c>
      <c r="D40">
        <v>46.613333333333337</v>
      </c>
      <c r="E40">
        <v>4</v>
      </c>
      <c r="F40">
        <v>0.10564420372247696</v>
      </c>
      <c r="G40">
        <v>4.2079761624336243E-2</v>
      </c>
      <c r="H40">
        <v>0.21386930346488953</v>
      </c>
      <c r="I40" t="s">
        <v>19</v>
      </c>
    </row>
    <row r="41" spans="1:9" x14ac:dyDescent="0.3">
      <c r="A41" t="s">
        <v>53</v>
      </c>
      <c r="B41">
        <v>30</v>
      </c>
      <c r="C41">
        <v>25.472000000000001</v>
      </c>
      <c r="D41">
        <v>84.90666666666668</v>
      </c>
      <c r="E41">
        <v>6</v>
      </c>
      <c r="F41">
        <v>0.1677854061126709</v>
      </c>
      <c r="G41">
        <v>0.12967042624950409</v>
      </c>
      <c r="H41">
        <v>0.61827874183654785</v>
      </c>
      <c r="I41" t="s">
        <v>25</v>
      </c>
    </row>
    <row r="42" spans="1:9" x14ac:dyDescent="0.3">
      <c r="A42" t="s">
        <v>54</v>
      </c>
      <c r="B42">
        <v>30</v>
      </c>
      <c r="C42">
        <v>7.04</v>
      </c>
      <c r="D42">
        <v>23.466666666666665</v>
      </c>
      <c r="E42">
        <v>1</v>
      </c>
      <c r="F42">
        <v>6.136447936296463E-2</v>
      </c>
      <c r="G42">
        <v>1.3755638152360916E-2</v>
      </c>
      <c r="H42">
        <v>6.788218766450882E-2</v>
      </c>
      <c r="I42" t="s">
        <v>10</v>
      </c>
    </row>
    <row r="43" spans="1:9" x14ac:dyDescent="0.3">
      <c r="A43" t="s">
        <v>55</v>
      </c>
      <c r="B43">
        <v>30</v>
      </c>
      <c r="C43">
        <v>14.544</v>
      </c>
      <c r="D43">
        <v>48.480000000000004</v>
      </c>
      <c r="E43">
        <v>5</v>
      </c>
      <c r="F43">
        <v>0.105396568775177</v>
      </c>
      <c r="G43">
        <v>4.0944736450910568E-2</v>
      </c>
      <c r="H43">
        <v>0.20068676769733429</v>
      </c>
      <c r="I43" t="s">
        <v>19</v>
      </c>
    </row>
    <row r="44" spans="1:9" x14ac:dyDescent="0.3">
      <c r="A44" t="s">
        <v>56</v>
      </c>
      <c r="B44">
        <v>30</v>
      </c>
      <c r="C44">
        <v>25.36</v>
      </c>
      <c r="D44">
        <v>84.533333333333331</v>
      </c>
      <c r="E44">
        <v>6</v>
      </c>
      <c r="F44">
        <v>0.15255022048950195</v>
      </c>
      <c r="G44">
        <v>0.12004119157791138</v>
      </c>
      <c r="H44">
        <v>0.62303584814071655</v>
      </c>
      <c r="I44" t="s">
        <v>25</v>
      </c>
    </row>
    <row r="45" spans="1:9" x14ac:dyDescent="0.3">
      <c r="A45" t="s">
        <v>57</v>
      </c>
      <c r="B45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12</v>
      </c>
    </row>
    <row r="46" spans="1:9" x14ac:dyDescent="0.3">
      <c r="A46" t="s">
        <v>58</v>
      </c>
      <c r="B46">
        <v>30</v>
      </c>
      <c r="C46">
        <v>25.423999999999999</v>
      </c>
      <c r="D46">
        <v>84.74666666666667</v>
      </c>
      <c r="E46">
        <v>6</v>
      </c>
      <c r="F46">
        <v>0.14802038669586182</v>
      </c>
      <c r="G46">
        <v>0.11673524230718613</v>
      </c>
      <c r="H46">
        <v>0.61582213640213013</v>
      </c>
      <c r="I46" t="s">
        <v>25</v>
      </c>
    </row>
    <row r="47" spans="1:9" x14ac:dyDescent="0.3">
      <c r="A47" t="s">
        <v>59</v>
      </c>
      <c r="B47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12</v>
      </c>
    </row>
    <row r="48" spans="1:9" x14ac:dyDescent="0.3">
      <c r="A48" t="s">
        <v>60</v>
      </c>
      <c r="B48">
        <v>30</v>
      </c>
      <c r="C48">
        <v>24.8</v>
      </c>
      <c r="D48">
        <v>82.666666666666671</v>
      </c>
      <c r="E48">
        <v>6</v>
      </c>
      <c r="F48">
        <v>0.15635454654693604</v>
      </c>
      <c r="G48">
        <v>0.12100066989660263</v>
      </c>
      <c r="H48">
        <v>0.62176543474197388</v>
      </c>
      <c r="I48" t="s">
        <v>25</v>
      </c>
    </row>
    <row r="49" spans="1:9" x14ac:dyDescent="0.3">
      <c r="A49" t="s">
        <v>61</v>
      </c>
      <c r="B49">
        <v>30</v>
      </c>
      <c r="C49">
        <v>25.135999999999999</v>
      </c>
      <c r="D49">
        <v>83.786666666666662</v>
      </c>
      <c r="E49">
        <v>6</v>
      </c>
      <c r="F49">
        <v>0.15930293500423431</v>
      </c>
      <c r="G49">
        <v>0.12405356019735336</v>
      </c>
      <c r="H49">
        <v>0.63798815011978149</v>
      </c>
      <c r="I49" t="s">
        <v>25</v>
      </c>
    </row>
    <row r="50" spans="1:9" x14ac:dyDescent="0.3">
      <c r="A50" t="s">
        <v>62</v>
      </c>
      <c r="B50">
        <v>30</v>
      </c>
      <c r="C50">
        <v>24.832000000000001</v>
      </c>
      <c r="D50">
        <v>82.773333333333326</v>
      </c>
      <c r="E50">
        <v>6</v>
      </c>
      <c r="F50">
        <v>0.15615314245223999</v>
      </c>
      <c r="G50">
        <v>0.12173084169626236</v>
      </c>
      <c r="H50">
        <v>0.61503136157989502</v>
      </c>
      <c r="I50" t="s">
        <v>25</v>
      </c>
    </row>
    <row r="51" spans="1:9" x14ac:dyDescent="0.3">
      <c r="A51" t="s">
        <v>63</v>
      </c>
      <c r="B51">
        <v>30</v>
      </c>
      <c r="C51">
        <v>24.751999999999999</v>
      </c>
      <c r="D51">
        <v>82.506666666666661</v>
      </c>
      <c r="E51">
        <v>6</v>
      </c>
      <c r="F51">
        <v>0.15703077614307404</v>
      </c>
      <c r="G51">
        <v>0.12130050361156464</v>
      </c>
      <c r="H51">
        <v>0.62133806943893433</v>
      </c>
      <c r="I51" t="s">
        <v>25</v>
      </c>
    </row>
    <row r="52" spans="1:9" x14ac:dyDescent="0.3">
      <c r="A52" t="s">
        <v>64</v>
      </c>
      <c r="B52">
        <v>30</v>
      </c>
      <c r="C52">
        <v>25.103999999999999</v>
      </c>
      <c r="D52">
        <v>83.679999999999993</v>
      </c>
      <c r="E52">
        <v>6</v>
      </c>
      <c r="F52">
        <v>0.16083960235118866</v>
      </c>
      <c r="G52">
        <v>0.12519221007823944</v>
      </c>
      <c r="H52">
        <v>0.63142317533493042</v>
      </c>
      <c r="I52" t="s">
        <v>25</v>
      </c>
    </row>
    <row r="53" spans="1:9" x14ac:dyDescent="0.3">
      <c r="A53" t="s">
        <v>65</v>
      </c>
      <c r="B53">
        <v>30</v>
      </c>
      <c r="C53">
        <v>25.423999999999999</v>
      </c>
      <c r="D53">
        <v>84.74666666666667</v>
      </c>
      <c r="E53">
        <v>6</v>
      </c>
      <c r="F53">
        <v>0.16710425913333893</v>
      </c>
      <c r="G53">
        <v>0.12965822219848633</v>
      </c>
      <c r="H53">
        <v>0.63354235887527466</v>
      </c>
      <c r="I53" t="s">
        <v>25</v>
      </c>
    </row>
    <row r="54" spans="1:9" x14ac:dyDescent="0.3">
      <c r="A54" t="s">
        <v>66</v>
      </c>
      <c r="B54">
        <v>30</v>
      </c>
      <c r="C54">
        <v>25.408000000000001</v>
      </c>
      <c r="D54">
        <v>84.693333333333342</v>
      </c>
      <c r="E54">
        <v>6</v>
      </c>
      <c r="F54">
        <v>0.16721725463867188</v>
      </c>
      <c r="G54">
        <v>0.13002829253673553</v>
      </c>
      <c r="H54">
        <v>0.63538473844528198</v>
      </c>
      <c r="I54" t="s">
        <v>25</v>
      </c>
    </row>
    <row r="55" spans="1:9" x14ac:dyDescent="0.3">
      <c r="A55" t="s">
        <v>67</v>
      </c>
      <c r="B55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12</v>
      </c>
    </row>
    <row r="56" spans="1:9" x14ac:dyDescent="0.3">
      <c r="A56" t="s">
        <v>68</v>
      </c>
      <c r="B56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12</v>
      </c>
    </row>
    <row r="57" spans="1:9" x14ac:dyDescent="0.3">
      <c r="A57" t="s">
        <v>69</v>
      </c>
      <c r="B57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12</v>
      </c>
    </row>
    <row r="58" spans="1:9" x14ac:dyDescent="0.3">
      <c r="A58" t="s">
        <v>70</v>
      </c>
      <c r="B58">
        <v>45</v>
      </c>
      <c r="C58">
        <v>39.911999999999999</v>
      </c>
      <c r="D58">
        <v>88.693333333333328</v>
      </c>
      <c r="E58">
        <v>2</v>
      </c>
      <c r="F58">
        <v>0.22726823389530182</v>
      </c>
      <c r="G58">
        <v>9.0538874268531799E-2</v>
      </c>
      <c r="H58">
        <v>0.58201426267623901</v>
      </c>
      <c r="I58" t="s">
        <v>25</v>
      </c>
    </row>
    <row r="59" spans="1:9" x14ac:dyDescent="0.3">
      <c r="A59" t="s">
        <v>71</v>
      </c>
      <c r="B59">
        <v>45</v>
      </c>
      <c r="C59">
        <v>42.247999999999998</v>
      </c>
      <c r="D59">
        <v>93.884444444444441</v>
      </c>
      <c r="E59">
        <v>2</v>
      </c>
      <c r="F59">
        <v>0.21901822090148926</v>
      </c>
      <c r="G59">
        <v>7.5462333858013153E-2</v>
      </c>
      <c r="H59">
        <v>0.43437027931213379</v>
      </c>
      <c r="I59" t="s">
        <v>19</v>
      </c>
    </row>
    <row r="60" spans="1:9" x14ac:dyDescent="0.3">
      <c r="A60" t="s">
        <v>72</v>
      </c>
      <c r="B60">
        <v>45</v>
      </c>
      <c r="C60">
        <v>36.136000000000003</v>
      </c>
      <c r="D60">
        <v>80.302222222222227</v>
      </c>
      <c r="E60">
        <v>4</v>
      </c>
      <c r="F60">
        <v>0.23700638115406036</v>
      </c>
      <c r="G60">
        <v>9.4447225332260132E-2</v>
      </c>
      <c r="H60">
        <v>0.56242978572845459</v>
      </c>
      <c r="I60" t="s">
        <v>25</v>
      </c>
    </row>
    <row r="61" spans="1:9" x14ac:dyDescent="0.3">
      <c r="A61" t="s">
        <v>73</v>
      </c>
      <c r="B61">
        <v>45</v>
      </c>
      <c r="C61">
        <v>36.423999999999999</v>
      </c>
      <c r="D61">
        <v>80.942222222222227</v>
      </c>
      <c r="E61">
        <v>4</v>
      </c>
      <c r="F61">
        <v>0.23600666224956512</v>
      </c>
      <c r="G61">
        <v>9.368123859167099E-2</v>
      </c>
      <c r="H61">
        <v>0.57398372888565063</v>
      </c>
      <c r="I61" t="s">
        <v>25</v>
      </c>
    </row>
    <row r="62" spans="1:9" x14ac:dyDescent="0.3">
      <c r="A62" t="s">
        <v>74</v>
      </c>
      <c r="B62">
        <v>45</v>
      </c>
      <c r="C62">
        <v>26.815999999999999</v>
      </c>
      <c r="D62">
        <v>59.591111111111104</v>
      </c>
      <c r="E62">
        <v>5</v>
      </c>
      <c r="F62">
        <v>0.19972217082977295</v>
      </c>
      <c r="G62">
        <v>5.4343629628419876E-2</v>
      </c>
      <c r="H62">
        <v>0.26113694906234741</v>
      </c>
      <c r="I62" t="s">
        <v>19</v>
      </c>
    </row>
    <row r="63" spans="1:9" x14ac:dyDescent="0.3">
      <c r="A63" t="s">
        <v>75</v>
      </c>
      <c r="B63">
        <v>30</v>
      </c>
      <c r="C63">
        <v>25.36</v>
      </c>
      <c r="D63">
        <v>84.533333333333331</v>
      </c>
      <c r="E63">
        <v>6</v>
      </c>
      <c r="F63">
        <v>0.15149562060832977</v>
      </c>
      <c r="G63">
        <v>0.11899314075708389</v>
      </c>
      <c r="H63">
        <v>0.6284712553024292</v>
      </c>
      <c r="I63" t="s">
        <v>25</v>
      </c>
    </row>
    <row r="64" spans="1:9" x14ac:dyDescent="0.3">
      <c r="A64" t="s">
        <v>76</v>
      </c>
      <c r="B64">
        <v>30</v>
      </c>
      <c r="C64">
        <v>25.456</v>
      </c>
      <c r="D64">
        <v>84.853333333333339</v>
      </c>
      <c r="E64">
        <v>6</v>
      </c>
      <c r="F64">
        <v>0.15625359117984772</v>
      </c>
      <c r="G64">
        <v>0.12054158002138138</v>
      </c>
      <c r="H64">
        <v>0.62985503673553467</v>
      </c>
      <c r="I64" t="s">
        <v>25</v>
      </c>
    </row>
    <row r="65" spans="1:9" x14ac:dyDescent="0.3">
      <c r="A65" t="s">
        <v>77</v>
      </c>
      <c r="B65">
        <v>30</v>
      </c>
      <c r="C65">
        <v>25.456</v>
      </c>
      <c r="D65">
        <v>84.853333333333339</v>
      </c>
      <c r="E65">
        <v>6</v>
      </c>
      <c r="F65">
        <v>0.15062703192234039</v>
      </c>
      <c r="G65">
        <v>0.11761506646871567</v>
      </c>
      <c r="H65">
        <v>0.62043136358261108</v>
      </c>
      <c r="I65" t="s">
        <v>25</v>
      </c>
    </row>
    <row r="66" spans="1:9" x14ac:dyDescent="0.3">
      <c r="A66" t="s">
        <v>78</v>
      </c>
      <c r="B66">
        <v>30</v>
      </c>
      <c r="C66">
        <v>25.344000000000001</v>
      </c>
      <c r="D66">
        <v>84.48</v>
      </c>
      <c r="E66">
        <v>6</v>
      </c>
      <c r="F66">
        <v>0.15523234009742737</v>
      </c>
      <c r="G66">
        <v>0.11987023800611496</v>
      </c>
      <c r="H66">
        <v>0.6121717095375061</v>
      </c>
      <c r="I66" t="s">
        <v>25</v>
      </c>
    </row>
    <row r="67" spans="1:9" x14ac:dyDescent="0.3">
      <c r="A67" t="s">
        <v>79</v>
      </c>
      <c r="B67">
        <v>30</v>
      </c>
      <c r="C67">
        <v>14.448</v>
      </c>
      <c r="D67">
        <v>48.160000000000004</v>
      </c>
      <c r="E67">
        <v>5</v>
      </c>
      <c r="F67">
        <v>0.10695216059684753</v>
      </c>
      <c r="G67">
        <v>4.0145773440599442E-2</v>
      </c>
      <c r="H67">
        <v>0.21069639921188354</v>
      </c>
      <c r="I67" t="s">
        <v>19</v>
      </c>
    </row>
    <row r="68" spans="1:9" x14ac:dyDescent="0.3">
      <c r="A68" t="s">
        <v>80</v>
      </c>
      <c r="B68">
        <v>30</v>
      </c>
      <c r="C68">
        <v>5.8879999999999999</v>
      </c>
      <c r="D68">
        <v>19.626666666666669</v>
      </c>
      <c r="E68">
        <v>1</v>
      </c>
      <c r="F68">
        <v>0</v>
      </c>
      <c r="G68">
        <v>0</v>
      </c>
      <c r="H68">
        <v>0</v>
      </c>
      <c r="I68" t="s">
        <v>19</v>
      </c>
    </row>
    <row r="69" spans="1:9" x14ac:dyDescent="0.3">
      <c r="A69" t="s">
        <v>81</v>
      </c>
      <c r="B69">
        <v>30</v>
      </c>
      <c r="C69">
        <v>14.96</v>
      </c>
      <c r="D69">
        <v>49.866666666666667</v>
      </c>
      <c r="E69">
        <v>4</v>
      </c>
      <c r="F69">
        <v>0.10615171492099762</v>
      </c>
      <c r="G69">
        <v>4.0931649506092072E-2</v>
      </c>
      <c r="H69">
        <v>0.20317316055297852</v>
      </c>
      <c r="I69" t="s">
        <v>19</v>
      </c>
    </row>
    <row r="70" spans="1:9" x14ac:dyDescent="0.3">
      <c r="A70" t="s">
        <v>82</v>
      </c>
      <c r="B70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12</v>
      </c>
    </row>
    <row r="71" spans="1:9" x14ac:dyDescent="0.3">
      <c r="A71" t="s">
        <v>83</v>
      </c>
      <c r="B71">
        <v>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12</v>
      </c>
    </row>
    <row r="72" spans="1:9" x14ac:dyDescent="0.3">
      <c r="A72" t="s">
        <v>84</v>
      </c>
      <c r="B72">
        <v>30</v>
      </c>
      <c r="C72">
        <v>25.456</v>
      </c>
      <c r="D72">
        <v>84.853333333333339</v>
      </c>
      <c r="E72">
        <v>6</v>
      </c>
      <c r="F72">
        <v>0.15167658030986786</v>
      </c>
      <c r="G72">
        <v>0.11890630424022675</v>
      </c>
      <c r="H72">
        <v>0.61506569385528564</v>
      </c>
      <c r="I72" t="s">
        <v>25</v>
      </c>
    </row>
    <row r="73" spans="1:9" x14ac:dyDescent="0.3">
      <c r="A73" t="s">
        <v>85</v>
      </c>
      <c r="B73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12</v>
      </c>
    </row>
    <row r="74" spans="1:9" x14ac:dyDescent="0.3">
      <c r="A74" t="s">
        <v>86</v>
      </c>
      <c r="B74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12</v>
      </c>
    </row>
    <row r="75" spans="1:9" x14ac:dyDescent="0.3">
      <c r="A75" t="s">
        <v>87</v>
      </c>
      <c r="B75">
        <v>30</v>
      </c>
      <c r="C75">
        <v>25.456</v>
      </c>
      <c r="D75">
        <v>84.853333333333339</v>
      </c>
      <c r="E75">
        <v>6</v>
      </c>
      <c r="F75">
        <v>0.15328331291675568</v>
      </c>
      <c r="G75">
        <v>0.11927751451730728</v>
      </c>
      <c r="H75">
        <v>0.62919104099273682</v>
      </c>
      <c r="I75" t="s">
        <v>25</v>
      </c>
    </row>
    <row r="76" spans="1:9" x14ac:dyDescent="0.3">
      <c r="A76" t="s">
        <v>88</v>
      </c>
      <c r="B76">
        <v>30</v>
      </c>
      <c r="C76">
        <v>25.231999999999999</v>
      </c>
      <c r="D76">
        <v>84.106666666666669</v>
      </c>
      <c r="E76">
        <v>6</v>
      </c>
      <c r="F76">
        <v>0.1609983891248703</v>
      </c>
      <c r="G76">
        <v>0.12463604658842087</v>
      </c>
      <c r="H76">
        <v>0.62270635366439819</v>
      </c>
      <c r="I76" t="s">
        <v>25</v>
      </c>
    </row>
    <row r="77" spans="1:9" x14ac:dyDescent="0.3">
      <c r="A77" t="s">
        <v>89</v>
      </c>
      <c r="B77">
        <v>30</v>
      </c>
      <c r="C77">
        <v>25.488</v>
      </c>
      <c r="D77">
        <v>84.960000000000008</v>
      </c>
      <c r="E77">
        <v>6</v>
      </c>
      <c r="F77">
        <v>0.15943519771099091</v>
      </c>
      <c r="G77">
        <v>0.12305222451686859</v>
      </c>
      <c r="H77">
        <v>0.62189531326293945</v>
      </c>
      <c r="I77" t="s">
        <v>25</v>
      </c>
    </row>
    <row r="78" spans="1:9" x14ac:dyDescent="0.3">
      <c r="A78" t="s">
        <v>90</v>
      </c>
      <c r="B78">
        <v>30</v>
      </c>
      <c r="C78">
        <v>25.472000000000001</v>
      </c>
      <c r="D78">
        <v>84.90666666666668</v>
      </c>
      <c r="E78">
        <v>6</v>
      </c>
      <c r="F78">
        <v>0.15727153420448303</v>
      </c>
      <c r="G78">
        <v>0.12162341177463531</v>
      </c>
      <c r="H78">
        <v>0.61800879240036011</v>
      </c>
      <c r="I78" t="s">
        <v>25</v>
      </c>
    </row>
    <row r="79" spans="1:9" x14ac:dyDescent="0.3">
      <c r="A79" t="s">
        <v>91</v>
      </c>
      <c r="B79">
        <v>30</v>
      </c>
      <c r="C79">
        <v>0.16</v>
      </c>
      <c r="D79">
        <v>0.53333333333333333</v>
      </c>
      <c r="E79">
        <v>1</v>
      </c>
      <c r="F79">
        <v>0</v>
      </c>
      <c r="G79">
        <v>0</v>
      </c>
      <c r="H79">
        <v>0</v>
      </c>
      <c r="I79" t="s">
        <v>44</v>
      </c>
    </row>
    <row r="80" spans="1:9" x14ac:dyDescent="0.3">
      <c r="A80" t="s">
        <v>92</v>
      </c>
      <c r="B80">
        <v>30</v>
      </c>
      <c r="C80">
        <v>0.16</v>
      </c>
      <c r="D80">
        <v>0.53333333333333333</v>
      </c>
      <c r="E80">
        <v>1</v>
      </c>
      <c r="F80">
        <v>0</v>
      </c>
      <c r="G80">
        <v>0</v>
      </c>
      <c r="H80">
        <v>0</v>
      </c>
      <c r="I80" t="s">
        <v>44</v>
      </c>
    </row>
    <row r="81" spans="1:9" x14ac:dyDescent="0.3">
      <c r="A81" t="s">
        <v>93</v>
      </c>
      <c r="B81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12</v>
      </c>
    </row>
    <row r="82" spans="1:9" x14ac:dyDescent="0.3">
      <c r="A82" t="s">
        <v>94</v>
      </c>
      <c r="B82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12</v>
      </c>
    </row>
    <row r="83" spans="1:9" x14ac:dyDescent="0.3">
      <c r="A83" t="s">
        <v>95</v>
      </c>
      <c r="B83">
        <v>30</v>
      </c>
      <c r="C83">
        <v>0.16</v>
      </c>
      <c r="D83">
        <v>0.53333333333333333</v>
      </c>
      <c r="E83">
        <v>1</v>
      </c>
      <c r="F83">
        <v>0</v>
      </c>
      <c r="G83">
        <v>0</v>
      </c>
      <c r="H83">
        <v>0</v>
      </c>
      <c r="I83" t="s">
        <v>44</v>
      </c>
    </row>
    <row r="84" spans="1:9" x14ac:dyDescent="0.3">
      <c r="A84" t="s">
        <v>96</v>
      </c>
      <c r="B84">
        <v>30</v>
      </c>
      <c r="C84">
        <v>0.16</v>
      </c>
      <c r="D84">
        <v>0.53333333333333333</v>
      </c>
      <c r="E84">
        <v>1</v>
      </c>
      <c r="F84">
        <v>0</v>
      </c>
      <c r="G84">
        <v>0</v>
      </c>
      <c r="H84">
        <v>0</v>
      </c>
      <c r="I84" t="s">
        <v>44</v>
      </c>
    </row>
    <row r="85" spans="1:9" x14ac:dyDescent="0.3">
      <c r="A85" t="s">
        <v>97</v>
      </c>
      <c r="B85">
        <v>30</v>
      </c>
      <c r="C85">
        <v>0.16</v>
      </c>
      <c r="D85">
        <v>0.53333333333333333</v>
      </c>
      <c r="E85">
        <v>1</v>
      </c>
      <c r="F85">
        <v>0</v>
      </c>
      <c r="G85">
        <v>0</v>
      </c>
      <c r="H85">
        <v>0</v>
      </c>
      <c r="I85" t="s">
        <v>44</v>
      </c>
    </row>
    <row r="86" spans="1:9" x14ac:dyDescent="0.3">
      <c r="A86" t="s">
        <v>98</v>
      </c>
      <c r="B86">
        <v>30</v>
      </c>
      <c r="C86">
        <v>0.16</v>
      </c>
      <c r="D86">
        <v>0.53333333333333333</v>
      </c>
      <c r="E86">
        <v>1</v>
      </c>
      <c r="F86">
        <v>0</v>
      </c>
      <c r="G86">
        <v>0</v>
      </c>
      <c r="H86">
        <v>0</v>
      </c>
      <c r="I86" t="s">
        <v>44</v>
      </c>
    </row>
    <row r="87" spans="1:9" x14ac:dyDescent="0.3">
      <c r="A87" t="s">
        <v>99</v>
      </c>
      <c r="B87">
        <v>30</v>
      </c>
      <c r="C87">
        <v>0.16</v>
      </c>
      <c r="D87">
        <v>0.53333333333333333</v>
      </c>
      <c r="E87">
        <v>1</v>
      </c>
      <c r="F87">
        <v>0</v>
      </c>
      <c r="G87">
        <v>0</v>
      </c>
      <c r="H87">
        <v>0</v>
      </c>
      <c r="I87" t="s">
        <v>44</v>
      </c>
    </row>
    <row r="88" spans="1:9" x14ac:dyDescent="0.3">
      <c r="A88" t="s">
        <v>100</v>
      </c>
      <c r="B88">
        <v>30</v>
      </c>
      <c r="C88">
        <v>0.16</v>
      </c>
      <c r="D88">
        <v>0.53333333333333333</v>
      </c>
      <c r="E88">
        <v>1</v>
      </c>
      <c r="F88">
        <v>0</v>
      </c>
      <c r="G88">
        <v>0</v>
      </c>
      <c r="H88">
        <v>0</v>
      </c>
      <c r="I88" t="s">
        <v>44</v>
      </c>
    </row>
    <row r="89" spans="1:9" x14ac:dyDescent="0.3">
      <c r="A89" t="s">
        <v>101</v>
      </c>
      <c r="B89">
        <v>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12</v>
      </c>
    </row>
    <row r="90" spans="1:9" x14ac:dyDescent="0.3">
      <c r="A90" t="s">
        <v>102</v>
      </c>
      <c r="B90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12</v>
      </c>
    </row>
    <row r="91" spans="1:9" x14ac:dyDescent="0.3">
      <c r="A91" t="s">
        <v>103</v>
      </c>
      <c r="B91">
        <v>30</v>
      </c>
      <c r="C91">
        <v>0.16</v>
      </c>
      <c r="D91">
        <v>0.53333333333333333</v>
      </c>
      <c r="E91">
        <v>1</v>
      </c>
      <c r="F91">
        <v>0</v>
      </c>
      <c r="G91">
        <v>0</v>
      </c>
      <c r="H91">
        <v>0</v>
      </c>
      <c r="I91" t="s">
        <v>44</v>
      </c>
    </row>
    <row r="92" spans="1:9" x14ac:dyDescent="0.3">
      <c r="A92" t="s">
        <v>104</v>
      </c>
      <c r="B92">
        <v>30</v>
      </c>
      <c r="C92">
        <v>0.16</v>
      </c>
      <c r="D92">
        <v>0.53333333333333333</v>
      </c>
      <c r="E92">
        <v>1</v>
      </c>
      <c r="F92">
        <v>0</v>
      </c>
      <c r="G92">
        <v>0</v>
      </c>
      <c r="H92">
        <v>0</v>
      </c>
      <c r="I92" t="s">
        <v>44</v>
      </c>
    </row>
    <row r="93" spans="1:9" x14ac:dyDescent="0.3">
      <c r="A93" t="s">
        <v>105</v>
      </c>
      <c r="B93">
        <v>45</v>
      </c>
      <c r="C93">
        <v>38.688000000000002</v>
      </c>
      <c r="D93">
        <v>85.973333333333329</v>
      </c>
      <c r="E93">
        <v>1</v>
      </c>
      <c r="F93">
        <v>0.11441191285848618</v>
      </c>
      <c r="G93">
        <v>2.8106586541980505E-3</v>
      </c>
      <c r="H93">
        <v>4.6825766563415527E-2</v>
      </c>
      <c r="I93" t="s">
        <v>10</v>
      </c>
    </row>
    <row r="94" spans="1:9" x14ac:dyDescent="0.3">
      <c r="A94" t="s">
        <v>106</v>
      </c>
      <c r="B94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12</v>
      </c>
    </row>
    <row r="95" spans="1:9" x14ac:dyDescent="0.3">
      <c r="A95" t="s">
        <v>107</v>
      </c>
      <c r="B95">
        <v>30</v>
      </c>
      <c r="C95">
        <v>0.16</v>
      </c>
      <c r="D95">
        <v>0.53333333333333333</v>
      </c>
      <c r="E95">
        <v>1</v>
      </c>
      <c r="F95">
        <v>0</v>
      </c>
      <c r="G95">
        <v>0</v>
      </c>
      <c r="H95">
        <v>0</v>
      </c>
      <c r="I95" t="s">
        <v>44</v>
      </c>
    </row>
    <row r="96" spans="1:9" x14ac:dyDescent="0.3">
      <c r="A96" t="s">
        <v>108</v>
      </c>
      <c r="B96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12</v>
      </c>
    </row>
    <row r="97" spans="1:9" x14ac:dyDescent="0.3">
      <c r="A97" t="s">
        <v>109</v>
      </c>
      <c r="B97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12</v>
      </c>
    </row>
    <row r="98" spans="1:9" x14ac:dyDescent="0.3">
      <c r="A98" t="s">
        <v>110</v>
      </c>
      <c r="B98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12</v>
      </c>
    </row>
    <row r="99" spans="1:9" x14ac:dyDescent="0.3">
      <c r="A99" t="s">
        <v>111</v>
      </c>
      <c r="B99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12</v>
      </c>
    </row>
    <row r="100" spans="1:9" x14ac:dyDescent="0.3">
      <c r="A100" t="s">
        <v>112</v>
      </c>
      <c r="B100">
        <v>30</v>
      </c>
      <c r="C100">
        <v>0.128</v>
      </c>
      <c r="D100">
        <v>0.42666666666666669</v>
      </c>
      <c r="E100">
        <v>1</v>
      </c>
      <c r="F100">
        <v>0</v>
      </c>
      <c r="G100">
        <v>0</v>
      </c>
      <c r="H100">
        <v>0</v>
      </c>
      <c r="I100" t="s">
        <v>44</v>
      </c>
    </row>
    <row r="101" spans="1:9" x14ac:dyDescent="0.3">
      <c r="A101" t="s">
        <v>113</v>
      </c>
      <c r="B101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12</v>
      </c>
    </row>
    <row r="102" spans="1:9" x14ac:dyDescent="0.3">
      <c r="A102" t="s">
        <v>114</v>
      </c>
      <c r="B102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12</v>
      </c>
    </row>
    <row r="103" spans="1:9" x14ac:dyDescent="0.3">
      <c r="A103" t="s">
        <v>115</v>
      </c>
      <c r="B103">
        <v>30</v>
      </c>
      <c r="C103">
        <v>0.16</v>
      </c>
      <c r="D103">
        <v>0.53333333333333333</v>
      </c>
      <c r="E103">
        <v>1</v>
      </c>
      <c r="F103">
        <v>0</v>
      </c>
      <c r="G103">
        <v>0</v>
      </c>
      <c r="H103">
        <v>0</v>
      </c>
      <c r="I103" t="s">
        <v>44</v>
      </c>
    </row>
    <row r="104" spans="1:9" x14ac:dyDescent="0.3">
      <c r="A104" t="s">
        <v>116</v>
      </c>
      <c r="B104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12</v>
      </c>
    </row>
    <row r="105" spans="1:9" x14ac:dyDescent="0.3">
      <c r="A105" t="s">
        <v>117</v>
      </c>
      <c r="B105">
        <v>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12</v>
      </c>
    </row>
    <row r="106" spans="1:9" x14ac:dyDescent="0.3">
      <c r="A106" t="s">
        <v>118</v>
      </c>
      <c r="B106">
        <v>30</v>
      </c>
      <c r="C106">
        <v>0.16</v>
      </c>
      <c r="D106">
        <v>0.53333333333333333</v>
      </c>
      <c r="E106">
        <v>1</v>
      </c>
      <c r="F106">
        <v>0</v>
      </c>
      <c r="G106">
        <v>0</v>
      </c>
      <c r="H106">
        <v>0</v>
      </c>
      <c r="I106" t="s">
        <v>44</v>
      </c>
    </row>
    <row r="107" spans="1:9" x14ac:dyDescent="0.3">
      <c r="A107" t="s">
        <v>119</v>
      </c>
      <c r="B107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12</v>
      </c>
    </row>
    <row r="108" spans="1:9" x14ac:dyDescent="0.3">
      <c r="A108" t="s">
        <v>120</v>
      </c>
      <c r="B108">
        <v>45</v>
      </c>
      <c r="C108">
        <v>27.72</v>
      </c>
      <c r="D108">
        <v>61.6</v>
      </c>
      <c r="E108">
        <v>5</v>
      </c>
      <c r="F108">
        <v>0.15192466974258423</v>
      </c>
      <c r="G108">
        <v>6.6722124814987183E-2</v>
      </c>
      <c r="H108">
        <v>0.2661348283290863</v>
      </c>
      <c r="I108" t="s">
        <v>19</v>
      </c>
    </row>
    <row r="109" spans="1:9" x14ac:dyDescent="0.3">
      <c r="A109" t="s">
        <v>121</v>
      </c>
      <c r="B109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12</v>
      </c>
    </row>
    <row r="110" spans="1:9" x14ac:dyDescent="0.3">
      <c r="A110" t="s">
        <v>122</v>
      </c>
      <c r="B110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5823-FC32-43D4-A21E-1CA53B20D145}">
  <dimension ref="A1:H31"/>
  <sheetViews>
    <sheetView workbookViewId="0">
      <selection activeCell="G20" sqref="G20"/>
    </sheetView>
  </sheetViews>
  <sheetFormatPr baseColWidth="10" defaultRowHeight="14.4" x14ac:dyDescent="0.3"/>
  <cols>
    <col min="1" max="1" width="16.5546875" bestFit="1" customWidth="1"/>
    <col min="2" max="2" width="24.109375" bestFit="1" customWidth="1"/>
    <col min="3" max="3" width="20.6640625" bestFit="1" customWidth="1"/>
    <col min="4" max="4" width="16.5546875" bestFit="1" customWidth="1"/>
    <col min="5" max="5" width="24.109375" bestFit="1" customWidth="1"/>
    <col min="6" max="6" width="8.109375" customWidth="1"/>
    <col min="7" max="7" width="16.5546875" bestFit="1" customWidth="1"/>
    <col min="8" max="8" width="25.33203125" bestFit="1" customWidth="1"/>
    <col min="10" max="10" width="16.5546875" bestFit="1" customWidth="1"/>
    <col min="11" max="11" width="21.5546875" bestFit="1" customWidth="1"/>
    <col min="13" max="13" width="16.5546875" bestFit="1" customWidth="1"/>
    <col min="14" max="14" width="20.6640625" bestFit="1" customWidth="1"/>
    <col min="16" max="16" width="16.5546875" bestFit="1" customWidth="1"/>
    <col min="17" max="17" width="25.33203125" bestFit="1" customWidth="1"/>
  </cols>
  <sheetData>
    <row r="1" spans="1:8" x14ac:dyDescent="0.3">
      <c r="A1" s="1" t="s">
        <v>123</v>
      </c>
      <c r="B1" t="s">
        <v>125</v>
      </c>
      <c r="G1" s="1" t="s">
        <v>123</v>
      </c>
      <c r="H1" t="s">
        <v>129</v>
      </c>
    </row>
    <row r="2" spans="1:8" x14ac:dyDescent="0.3">
      <c r="A2" s="2" t="s">
        <v>25</v>
      </c>
      <c r="B2">
        <v>37</v>
      </c>
      <c r="G2" s="2" t="s">
        <v>25</v>
      </c>
      <c r="H2" s="3">
        <v>0.17140239678524635</v>
      </c>
    </row>
    <row r="3" spans="1:8" x14ac:dyDescent="0.3">
      <c r="A3" s="2" t="s">
        <v>12</v>
      </c>
      <c r="B3">
        <v>36</v>
      </c>
      <c r="G3" s="2" t="s">
        <v>19</v>
      </c>
      <c r="H3" s="3">
        <v>0.11134674180956448</v>
      </c>
    </row>
    <row r="4" spans="1:8" x14ac:dyDescent="0.3">
      <c r="A4" s="2" t="s">
        <v>19</v>
      </c>
      <c r="B4">
        <v>17</v>
      </c>
      <c r="G4" s="2" t="s">
        <v>10</v>
      </c>
      <c r="H4" s="3">
        <v>7.6771902851760387E-2</v>
      </c>
    </row>
    <row r="5" spans="1:8" x14ac:dyDescent="0.3">
      <c r="A5" s="2" t="s">
        <v>44</v>
      </c>
      <c r="B5">
        <v>15</v>
      </c>
      <c r="G5" s="2" t="s">
        <v>44</v>
      </c>
      <c r="H5" s="3">
        <v>0</v>
      </c>
    </row>
    <row r="6" spans="1:8" x14ac:dyDescent="0.3">
      <c r="A6" s="2" t="s">
        <v>10</v>
      </c>
      <c r="B6">
        <v>4</v>
      </c>
      <c r="G6" s="2" t="s">
        <v>12</v>
      </c>
      <c r="H6" s="3">
        <v>0</v>
      </c>
    </row>
    <row r="7" spans="1:8" x14ac:dyDescent="0.3">
      <c r="A7" s="2" t="s">
        <v>124</v>
      </c>
      <c r="B7">
        <v>109</v>
      </c>
      <c r="G7" s="2" t="s">
        <v>124</v>
      </c>
      <c r="H7" s="3">
        <v>7.8365788102970207E-2</v>
      </c>
    </row>
    <row r="9" spans="1:8" x14ac:dyDescent="0.3">
      <c r="A9" s="1" t="s">
        <v>123</v>
      </c>
      <c r="B9" t="s">
        <v>126</v>
      </c>
      <c r="G9" s="1" t="s">
        <v>123</v>
      </c>
      <c r="H9" t="s">
        <v>130</v>
      </c>
    </row>
    <row r="10" spans="1:8" x14ac:dyDescent="0.3">
      <c r="A10" s="2" t="s">
        <v>10</v>
      </c>
      <c r="B10" s="3">
        <v>37.5</v>
      </c>
      <c r="G10" s="2" t="s">
        <v>25</v>
      </c>
      <c r="H10" s="3">
        <v>0.61870586549913564</v>
      </c>
    </row>
    <row r="11" spans="1:8" x14ac:dyDescent="0.3">
      <c r="A11" s="2" t="s">
        <v>19</v>
      </c>
      <c r="B11" s="3">
        <v>35.294117647058826</v>
      </c>
      <c r="G11" s="2" t="s">
        <v>19</v>
      </c>
      <c r="H11" s="3">
        <v>0.22207194566726685</v>
      </c>
    </row>
    <row r="12" spans="1:8" x14ac:dyDescent="0.3">
      <c r="A12" s="2" t="s">
        <v>25</v>
      </c>
      <c r="B12" s="3">
        <v>32.027027027027025</v>
      </c>
      <c r="G12" s="2" t="s">
        <v>10</v>
      </c>
      <c r="H12" s="3">
        <v>5.2599372342228889E-2</v>
      </c>
    </row>
    <row r="13" spans="1:8" x14ac:dyDescent="0.3">
      <c r="A13" s="2" t="s">
        <v>44</v>
      </c>
      <c r="B13" s="3">
        <v>30</v>
      </c>
      <c r="G13" s="2" t="s">
        <v>44</v>
      </c>
      <c r="H13" s="3">
        <v>0</v>
      </c>
    </row>
    <row r="14" spans="1:8" x14ac:dyDescent="0.3">
      <c r="A14" s="2" t="s">
        <v>12</v>
      </c>
      <c r="B14" s="3">
        <v>30</v>
      </c>
      <c r="G14" s="2" t="s">
        <v>12</v>
      </c>
      <c r="H14" s="3">
        <v>0</v>
      </c>
    </row>
    <row r="15" spans="1:8" x14ac:dyDescent="0.3">
      <c r="A15" s="2" t="s">
        <v>124</v>
      </c>
      <c r="B15" s="3">
        <v>31.788990825688074</v>
      </c>
      <c r="G15" s="2" t="s">
        <v>124</v>
      </c>
      <c r="H15" s="3">
        <v>0.24658474852459147</v>
      </c>
    </row>
    <row r="17" spans="1:7" x14ac:dyDescent="0.3">
      <c r="A17" s="1" t="s">
        <v>123</v>
      </c>
      <c r="B17" t="s">
        <v>127</v>
      </c>
    </row>
    <row r="18" spans="1:7" x14ac:dyDescent="0.3">
      <c r="A18" s="2" t="s">
        <v>25</v>
      </c>
      <c r="B18" s="3">
        <v>81.600000000000023</v>
      </c>
    </row>
    <row r="19" spans="1:7" x14ac:dyDescent="0.3">
      <c r="A19" s="2" t="s">
        <v>19</v>
      </c>
      <c r="B19" s="3">
        <v>46.307973856209145</v>
      </c>
    </row>
    <row r="20" spans="1:7" x14ac:dyDescent="0.3">
      <c r="A20" s="2" t="s">
        <v>10</v>
      </c>
      <c r="B20" s="3">
        <v>41.37777777777778</v>
      </c>
    </row>
    <row r="21" spans="1:7" x14ac:dyDescent="0.3">
      <c r="A21" s="2" t="s">
        <v>44</v>
      </c>
      <c r="B21" s="3">
        <v>0.52622222222222215</v>
      </c>
    </row>
    <row r="22" spans="1:7" x14ac:dyDescent="0.3">
      <c r="A22" s="2" t="s">
        <v>12</v>
      </c>
      <c r="B22" s="3">
        <v>0</v>
      </c>
    </row>
    <row r="23" spans="1:7" x14ac:dyDescent="0.3">
      <c r="A23" s="2" t="s">
        <v>124</v>
      </c>
      <c r="B23" s="3">
        <v>36.512293577981652</v>
      </c>
    </row>
    <row r="25" spans="1:7" x14ac:dyDescent="0.3">
      <c r="A25" s="1" t="s">
        <v>123</v>
      </c>
      <c r="B25" t="s">
        <v>128</v>
      </c>
      <c r="G25" t="s">
        <v>132</v>
      </c>
    </row>
    <row r="26" spans="1:7" x14ac:dyDescent="0.3">
      <c r="A26" s="2" t="s">
        <v>25</v>
      </c>
      <c r="B26" s="3">
        <v>5.6216216216216219</v>
      </c>
    </row>
    <row r="27" spans="1:7" x14ac:dyDescent="0.3">
      <c r="A27" s="2" t="s">
        <v>19</v>
      </c>
      <c r="B27" s="3">
        <v>3.5882352941176472</v>
      </c>
    </row>
    <row r="28" spans="1:7" x14ac:dyDescent="0.3">
      <c r="A28" s="2" t="s">
        <v>10</v>
      </c>
      <c r="B28" s="3">
        <v>1.75</v>
      </c>
    </row>
    <row r="29" spans="1:7" x14ac:dyDescent="0.3">
      <c r="A29" s="2" t="s">
        <v>44</v>
      </c>
      <c r="B29" s="3">
        <v>1</v>
      </c>
    </row>
    <row r="30" spans="1:7" x14ac:dyDescent="0.3">
      <c r="A30" s="2" t="s">
        <v>12</v>
      </c>
      <c r="B30" s="3">
        <v>0</v>
      </c>
    </row>
    <row r="31" spans="1:7" x14ac:dyDescent="0.3">
      <c r="A31" s="2" t="s">
        <v>124</v>
      </c>
      <c r="B31" s="3">
        <v>2.669724770642202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6175-FEEA-4205-9129-AF018C0313CC}">
  <dimension ref="A1:G12"/>
  <sheetViews>
    <sheetView workbookViewId="0">
      <selection activeCell="C17" sqref="C17"/>
    </sheetView>
  </sheetViews>
  <sheetFormatPr baseColWidth="10" defaultRowHeight="14.4" x14ac:dyDescent="0.3"/>
  <cols>
    <col min="1" max="1" width="16.5546875" bestFit="1" customWidth="1"/>
    <col min="2" max="2" width="15.77734375" bestFit="1" customWidth="1"/>
    <col min="3" max="3" width="24.109375" bestFit="1" customWidth="1"/>
    <col min="5" max="5" width="20.21875" bestFit="1" customWidth="1"/>
    <col min="6" max="6" width="18.77734375" customWidth="1"/>
    <col min="7" max="7" width="21.5546875" bestFit="1" customWidth="1"/>
  </cols>
  <sheetData>
    <row r="1" spans="1:7" x14ac:dyDescent="0.3">
      <c r="A1" t="s">
        <v>125</v>
      </c>
      <c r="C1" t="s">
        <v>126</v>
      </c>
      <c r="E1" t="s">
        <v>131</v>
      </c>
      <c r="G1" t="s">
        <v>128</v>
      </c>
    </row>
    <row r="2" spans="1:7" x14ac:dyDescent="0.3">
      <c r="A2">
        <v>109</v>
      </c>
      <c r="C2" s="3">
        <v>31.788990825688074</v>
      </c>
      <c r="E2" s="3">
        <v>12.097688073394503</v>
      </c>
      <c r="G2" s="3">
        <v>2.669724770642202</v>
      </c>
    </row>
    <row r="4" spans="1:7" x14ac:dyDescent="0.3">
      <c r="A4">
        <f>+GETPIVOTDATA("archivo",$A$1)</f>
        <v>109</v>
      </c>
      <c r="C4" s="3">
        <f>+GETPIVOTDATA("duracion_total",$C$1)</f>
        <v>31.788990825688074</v>
      </c>
      <c r="E4" s="3">
        <f>+GETPIVOTDATA("audio_util",$E$1)</f>
        <v>12.097688073394503</v>
      </c>
      <c r="G4" s="3">
        <f>+GETPIVOTDATA("num_frases",$G$1)</f>
        <v>2.669724770642202</v>
      </c>
    </row>
    <row r="6" spans="1:7" x14ac:dyDescent="0.3">
      <c r="A6" s="1" t="s">
        <v>123</v>
      </c>
      <c r="B6" t="s">
        <v>125</v>
      </c>
    </row>
    <row r="7" spans="1:7" x14ac:dyDescent="0.3">
      <c r="A7" s="2" t="s">
        <v>19</v>
      </c>
      <c r="B7">
        <v>17</v>
      </c>
      <c r="C7">
        <f>+GETPIVOTDATA("archivo",$A$6,"clase","gris")</f>
        <v>17</v>
      </c>
      <c r="E7" t="s">
        <v>133</v>
      </c>
      <c r="F7" t="s">
        <v>134</v>
      </c>
    </row>
    <row r="8" spans="1:7" x14ac:dyDescent="0.3">
      <c r="A8" s="2" t="s">
        <v>10</v>
      </c>
      <c r="B8">
        <v>4</v>
      </c>
      <c r="C8">
        <f>+GETPIVOTDATA("archivo",$A$6,"clase","ivr_limpio")</f>
        <v>4</v>
      </c>
      <c r="E8">
        <f>C7+C8+C10</f>
        <v>58</v>
      </c>
      <c r="F8">
        <f>C9+C11</f>
        <v>51</v>
      </c>
    </row>
    <row r="9" spans="1:7" x14ac:dyDescent="0.3">
      <c r="A9" s="2" t="s">
        <v>12</v>
      </c>
      <c r="B9">
        <v>36</v>
      </c>
      <c r="C9">
        <f>+GETPIVOTDATA("archivo",$A$6,"clase","silencio_real")</f>
        <v>36</v>
      </c>
    </row>
    <row r="10" spans="1:7" x14ac:dyDescent="0.3">
      <c r="A10" s="2" t="s">
        <v>25</v>
      </c>
      <c r="B10">
        <v>37</v>
      </c>
      <c r="C10">
        <f>+GETPIVOTDATA("archivo",$A$6,"clase","sospechoso")</f>
        <v>37</v>
      </c>
      <c r="E10" t="s">
        <v>135</v>
      </c>
    </row>
    <row r="11" spans="1:7" x14ac:dyDescent="0.3">
      <c r="A11" s="2" t="s">
        <v>44</v>
      </c>
      <c r="B11">
        <v>15</v>
      </c>
      <c r="C11">
        <f>+GETPIVOTDATA("archivo",$A$6,"clase","vacio")</f>
        <v>15</v>
      </c>
      <c r="E11" s="4" cm="1">
        <f t="array" ref="E11">Tabla2[[Audios utiles ]]/A4</f>
        <v>0.5321100917431193</v>
      </c>
    </row>
    <row r="12" spans="1:7" x14ac:dyDescent="0.3">
      <c r="A12" s="2" t="s">
        <v>124</v>
      </c>
      <c r="B12">
        <v>109</v>
      </c>
    </row>
  </sheetData>
  <pageMargins left="0.7" right="0.7" top="0.75" bottom="0.75" header="0.3" footer="0.3"/>
  <tableParts count="3"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4A69-FA3D-412C-B519-FB74FACDC4B5}">
  <sheetPr>
    <pageSetUpPr fitToPage="1"/>
  </sheetPr>
  <dimension ref="A1"/>
  <sheetViews>
    <sheetView tabSelected="1" zoomScale="105" zoomScaleNormal="100" workbookViewId="0">
      <selection activeCell="R25" sqref="R25"/>
    </sheetView>
  </sheetViews>
  <sheetFormatPr baseColWidth="10" defaultRowHeight="14.4" x14ac:dyDescent="0.3"/>
  <sheetData/>
  <pageMargins left="0.7" right="0.7" top="0.75" bottom="0.75" header="0.3" footer="0.3"/>
  <pageSetup paperSize="9" scale="6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786D36-2894-4E6C-A5E5-2162419716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reporte_audio</vt:lpstr>
      <vt:lpstr>Auditoria de Audio</vt:lpstr>
      <vt:lpstr>KPI Audio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MITZI GALICIA ORIHUELA</dc:creator>
  <cp:lastModifiedBy>WENDY MITZI GALICIA ORIHUELA</cp:lastModifiedBy>
  <cp:lastPrinted>2026-06-26T01:58:49Z</cp:lastPrinted>
  <dcterms:created xsi:type="dcterms:W3CDTF">2026-06-24T22:43:39Z</dcterms:created>
  <dcterms:modified xsi:type="dcterms:W3CDTF">2026-07-09T01:31:49Z</dcterms:modified>
</cp:coreProperties>
</file>